
<file path=[Content_Types].xml><?xml version="1.0" encoding="utf-8"?>
<Types xmlns="http://schemas.openxmlformats.org/package/2006/content-types"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charts/chart78.xml" ContentType="application/vnd.openxmlformats-officedocument.drawingml.chart+xml"/>
  <Override PartName="/xl/vbaProject.bin" ContentType="application/vnd.ms-office.vbaProject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29.xml" ContentType="application/vnd.openxmlformats-officedocument.drawingml.chart+xml"/>
  <Override PartName="/xl/charts/chart49.xml" ContentType="application/vnd.openxmlformats-officedocument.drawingml.chart+xml"/>
  <Override PartName="/xl/charts/chart58.xml" ContentType="application/vnd.openxmlformats-officedocument.drawingml.chart+xml"/>
  <Override PartName="/xl/charts/chart67.xml" ContentType="application/vnd.openxmlformats-officedocument.drawingml.chart+xml"/>
  <Override PartName="/xl/charts/chart76.xml" ContentType="application/vnd.openxmlformats-officedocument.drawingml.chart+xml"/>
  <Override PartName="/xl/worksheets/sheet3.xml" ContentType="application/vnd.openxmlformats-officedocument.spreadsheetml.worksheet+xml"/>
  <Override PartName="/xl/activeX/activeX1.xml" ContentType="application/vnd.ms-office.activeX+xml"/>
  <Override PartName="/xl/charts/chart18.xml" ContentType="application/vnd.openxmlformats-officedocument.drawingml.chart+xml"/>
  <Override PartName="/xl/charts/chart27.xml" ContentType="application/vnd.openxmlformats-officedocument.drawingml.chart+xml"/>
  <Override PartName="/xl/charts/chart36.xml" ContentType="application/vnd.openxmlformats-officedocument.drawingml.chart+xml"/>
  <Override PartName="/xl/charts/chart38.xml" ContentType="application/vnd.openxmlformats-officedocument.drawingml.chart+xml"/>
  <Override PartName="/xl/charts/chart47.xml" ContentType="application/vnd.openxmlformats-officedocument.drawingml.chart+xml"/>
  <Override PartName="/xl/charts/chart56.xml" ContentType="application/vnd.openxmlformats-officedocument.drawingml.chart+xml"/>
  <Override PartName="/xl/charts/chart65.xml" ContentType="application/vnd.openxmlformats-officedocument.drawingml.chart+xml"/>
  <Override PartName="/xl/charts/chart74.xml" ContentType="application/vnd.openxmlformats-officedocument.drawingml.chart+xml"/>
  <Override PartName="/xl/charts/chart83.xml" ContentType="application/vnd.openxmlformats-officedocument.drawingml.chart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charts/chart25.xml" ContentType="application/vnd.openxmlformats-officedocument.drawingml.chart+xml"/>
  <Override PartName="/xl/charts/chart34.xml" ContentType="application/vnd.openxmlformats-officedocument.drawingml.chart+xml"/>
  <Override PartName="/xl/charts/chart45.xml" ContentType="application/vnd.openxmlformats-officedocument.drawingml.chart+xml"/>
  <Override PartName="/xl/charts/chart54.xml" ContentType="application/vnd.openxmlformats-officedocument.drawingml.chart+xml"/>
  <Override PartName="/xl/charts/chart63.xml" ContentType="application/vnd.openxmlformats-officedocument.drawingml.chart+xml"/>
  <Override PartName="/xl/charts/chart72.xml" ContentType="application/vnd.openxmlformats-officedocument.drawingml.chart+xml"/>
  <Override PartName="/xl/charts/chart81.xml" ContentType="application/vnd.openxmlformats-officedocument.drawingml.chart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charts/chart23.xml" ContentType="application/vnd.openxmlformats-officedocument.drawingml.chart+xml"/>
  <Override PartName="/xl/charts/chart32.xml" ContentType="application/vnd.openxmlformats-officedocument.drawingml.chart+xml"/>
  <Override PartName="/xl/charts/chart43.xml" ContentType="application/vnd.openxmlformats-officedocument.drawingml.chart+xml"/>
  <Override PartName="/xl/charts/chart52.xml" ContentType="application/vnd.openxmlformats-officedocument.drawingml.chart+xml"/>
  <Override PartName="/xl/charts/chart61.xml" ContentType="application/vnd.openxmlformats-officedocument.drawingml.chart+xml"/>
  <Override PartName="/xl/charts/chart70.xml" ContentType="application/vnd.openxmlformats-officedocument.drawingml.char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30.xml" ContentType="application/vnd.openxmlformats-officedocument.drawingml.chart+xml"/>
  <Override PartName="/xl/charts/chart41.xml" ContentType="application/vnd.openxmlformats-officedocument.drawingml.chart+xml"/>
  <Override PartName="/xl/charts/chart50.xml" ContentType="application/vnd.openxmlformats-officedocument.drawingml.char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59.xml" ContentType="application/vnd.openxmlformats-officedocument.drawingml.chart+xml"/>
  <Override PartName="/xl/charts/chart79.xml" ContentType="application/vnd.openxmlformats-officedocument.drawingml.char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39.xml" ContentType="application/vnd.openxmlformats-officedocument.drawingml.chart+xml"/>
  <Override PartName="/xl/charts/chart48.xml" ContentType="application/vnd.openxmlformats-officedocument.drawingml.chart+xml"/>
  <Override PartName="/xl/charts/chart57.xml" ContentType="application/vnd.openxmlformats-officedocument.drawingml.chart+xml"/>
  <Override PartName="/xl/charts/chart68.xml" ContentType="application/vnd.openxmlformats-officedocument.drawingml.chart+xml"/>
  <Override PartName="/xl/charts/chart77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charts/chart28.xml" ContentType="application/vnd.openxmlformats-officedocument.drawingml.chart+xml"/>
  <Override PartName="/xl/charts/chart37.xml" ContentType="application/vnd.openxmlformats-officedocument.drawingml.chart+xml"/>
  <Override PartName="/xl/charts/chart46.xml" ContentType="application/vnd.openxmlformats-officedocument.drawingml.chart+xml"/>
  <Override PartName="/xl/charts/chart55.xml" ContentType="application/vnd.openxmlformats-officedocument.drawingml.chart+xml"/>
  <Override PartName="/xl/charts/chart66.xml" ContentType="application/vnd.openxmlformats-officedocument.drawingml.chart+xml"/>
  <Override PartName="/xl/charts/chart75.xml" ContentType="application/vnd.openxmlformats-officedocument.drawingml.chart+xml"/>
  <Default Extension="vml" ContentType="application/vnd.openxmlformats-officedocument.vmlDrawing"/>
  <Override PartName="/xl/charts/chart17.xml" ContentType="application/vnd.openxmlformats-officedocument.drawingml.chart+xml"/>
  <Override PartName="/xl/charts/chart26.xml" ContentType="application/vnd.openxmlformats-officedocument.drawingml.chart+xml"/>
  <Override PartName="/xl/charts/chart35.xml" ContentType="application/vnd.openxmlformats-officedocument.drawingml.chart+xml"/>
  <Override PartName="/xl/charts/chart44.xml" ContentType="application/vnd.openxmlformats-officedocument.drawingml.chart+xml"/>
  <Override PartName="/xl/charts/chart53.xml" ContentType="application/vnd.openxmlformats-officedocument.drawingml.chart+xml"/>
  <Override PartName="/xl/charts/chart64.xml" ContentType="application/vnd.openxmlformats-officedocument.drawingml.chart+xml"/>
  <Override PartName="/xl/charts/chart73.xml" ContentType="application/vnd.openxmlformats-officedocument.drawingml.chart+xml"/>
  <Override PartName="/xl/charts/chart82.xml" ContentType="application/vnd.openxmlformats-officedocument.drawingml.chart+xml"/>
  <Override PartName="/xl/calcChain.xml" ContentType="application/vnd.openxmlformats-officedocument.spreadsheetml.calcChain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charts/chart33.xml" ContentType="application/vnd.openxmlformats-officedocument.drawingml.chart+xml"/>
  <Override PartName="/xl/charts/chart42.xml" ContentType="application/vnd.openxmlformats-officedocument.drawingml.chart+xml"/>
  <Override PartName="/xl/charts/chart51.xml" ContentType="application/vnd.openxmlformats-officedocument.drawingml.chart+xml"/>
  <Override PartName="/xl/charts/chart62.xml" ContentType="application/vnd.openxmlformats-officedocument.drawingml.chart+xml"/>
  <Override PartName="/xl/charts/chart71.xml" ContentType="application/vnd.openxmlformats-officedocument.drawingml.chart+xml"/>
  <Override PartName="/xl/charts/chart80.xml" ContentType="application/vnd.openxmlformats-officedocument.drawingml.char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xl/charts/chart40.xml" ContentType="application/vnd.openxmlformats-officedocument.drawingml.chart+xml"/>
  <Override PartName="/xl/charts/chart60.xml" ContentType="application/vnd.openxmlformats-officedocument.drawingml.chart+xml"/>
  <Override PartName="/docProps/core.xml" ContentType="application/vnd.openxmlformats-package.core-properties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69.xml" ContentType="application/vnd.openxmlformats-officedocument.drawingml.chart+xml"/>
  <Default Extension="rels" ContentType="application/vnd.openxmlformats-package.relationship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6D7BE3D0-9255-6837-6703-DDC3ED590948}"/>
  <workbookPr codeName="ThisWorkbook" defaultThemeVersion="124226"/>
  <bookViews>
    <workbookView xWindow="30" yWindow="-15" windowWidth="5565" windowHeight="5310" firstSheet="1" activeTab="2"/>
  </bookViews>
  <sheets>
    <sheet name="Load VPA Results" sheetId="7" r:id="rId1"/>
    <sheet name="Titles and Variables" sheetId="51" r:id="rId2"/>
    <sheet name="Table1-FAA" sheetId="13" r:id="rId3"/>
    <sheet name="Table2-NAA" sheetId="14" r:id="rId4"/>
    <sheet name="Table3-CAA" sheetId="15" r:id="rId5"/>
    <sheet name="Table4-SSB-R" sheetId="16" r:id="rId6"/>
    <sheet name="Indices-Reg1" sheetId="17" r:id="rId7"/>
    <sheet name="Selectivity-Reg1" sheetId="63" state="hidden" r:id="rId8"/>
    <sheet name="Selectivity Figs" sheetId="64" r:id="rId9"/>
  </sheets>
  <calcPr calcId="125725"/>
</workbook>
</file>

<file path=xl/calcChain.xml><?xml version="1.0" encoding="utf-8"?>
<calcChain xmlns="http://schemas.openxmlformats.org/spreadsheetml/2006/main">
  <c r="C1" i="13"/>
  <c r="D1"/>
  <c r="E1"/>
  <c r="F1"/>
  <c r="G1"/>
  <c r="B1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"/>
  <c r="A949" i="64"/>
  <c r="A899"/>
  <c r="A849"/>
  <c r="A799"/>
  <c r="A749"/>
  <c r="A699"/>
  <c r="A649"/>
  <c r="A599"/>
  <c r="A549"/>
  <c r="A499"/>
  <c r="A449"/>
  <c r="A399"/>
  <c r="A349"/>
  <c r="A299"/>
  <c r="A249"/>
  <c r="A199"/>
  <c r="A149"/>
  <c r="A99"/>
  <c r="A49"/>
  <c r="A1"/>
  <c r="E17" i="51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16"/>
  <c r="AF5" i="14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3"/>
  <c r="AF44"/>
  <c r="AF45"/>
  <c r="AF46"/>
  <c r="AF47"/>
  <c r="AF48"/>
  <c r="AF49"/>
  <c r="AF50"/>
  <c r="AF51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649" i="63"/>
  <c r="A599"/>
  <c r="A549"/>
  <c r="A499"/>
  <c r="A449"/>
  <c r="A399"/>
  <c r="A349"/>
  <c r="A299"/>
  <c r="A249"/>
  <c r="A199"/>
  <c r="A149"/>
  <c r="A99"/>
  <c r="A49"/>
  <c r="A1"/>
  <c r="AF5" i="1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4" i="14"/>
  <c r="AF4" i="15"/>
  <c r="AF100" i="13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I18" i="51"/>
  <c r="I19"/>
  <c r="I20"/>
  <c r="I21"/>
  <c r="I22"/>
  <c r="I23"/>
  <c r="I24"/>
  <c r="I17"/>
  <c r="B3"/>
  <c r="B16"/>
  <c r="B17"/>
  <c r="O1" i="17" s="1"/>
  <c r="B18" i="51"/>
  <c r="Z1" i="17" s="1"/>
  <c r="B19" i="51"/>
  <c r="AL1" i="17" s="1"/>
  <c r="B20" i="51"/>
  <c r="AX1" i="17" s="1"/>
  <c r="B21" i="51"/>
  <c r="BJ1" i="17" s="1"/>
  <c r="B22" i="51"/>
  <c r="BV1" i="17" s="1"/>
  <c r="B23" i="51"/>
  <c r="CH1" i="17" s="1"/>
  <c r="B24" i="51"/>
  <c r="CT1" i="17" s="1"/>
  <c r="B25" i="51"/>
  <c r="DF1" i="17" s="1"/>
  <c r="B26" i="51"/>
  <c r="DR1" i="17" s="1"/>
  <c r="B27" i="51"/>
  <c r="ED1" i="17" s="1"/>
  <c r="B28" i="51"/>
  <c r="EP1" i="17" s="1"/>
  <c r="B29" i="51"/>
  <c r="FB1" i="17" s="1"/>
  <c r="B30" i="51"/>
  <c r="FN1" i="17" s="1"/>
  <c r="B31" i="51"/>
  <c r="FZ1" i="17" s="1"/>
  <c r="B32" i="51"/>
  <c r="GL1" i="17" s="1"/>
  <c r="B33" i="51"/>
  <c r="GX1" i="17" s="1"/>
  <c r="B34" i="51"/>
  <c r="HJ1" i="17" s="1"/>
  <c r="B35" i="51"/>
  <c r="HW1" i="17"/>
  <c r="HV1"/>
  <c r="HK1"/>
  <c r="GY1"/>
  <c r="GM1"/>
  <c r="GA1"/>
  <c r="FO1"/>
  <c r="FC1"/>
  <c r="EQ1"/>
  <c r="EE1"/>
  <c r="DS1"/>
  <c r="DG1"/>
  <c r="CU1"/>
  <c r="CI1"/>
  <c r="BW1"/>
  <c r="BK1"/>
  <c r="A699" i="63"/>
  <c r="A749"/>
  <c r="A799"/>
  <c r="A849"/>
  <c r="A899"/>
  <c r="A949"/>
  <c r="D1" i="17"/>
  <c r="F1"/>
  <c r="Q1"/>
  <c r="AB1"/>
  <c r="AN1"/>
  <c r="AZ1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F4" i="13"/>
  <c r="I8" i="51"/>
  <c r="I9"/>
  <c r="I10"/>
  <c r="I11"/>
  <c r="I12"/>
  <c r="I13"/>
  <c r="I14"/>
  <c r="I15"/>
</calcChain>
</file>

<file path=xl/sharedStrings.xml><?xml version="1.0" encoding="utf-8"?>
<sst xmlns="http://schemas.openxmlformats.org/spreadsheetml/2006/main" count="649" uniqueCount="126">
  <si>
    <t>YEAR</t>
  </si>
  <si>
    <t>Last Year</t>
  </si>
  <si>
    <t xml:space="preserve">Fishing Mortality Rate </t>
  </si>
  <si>
    <t>REGION</t>
  </si>
  <si>
    <t>AGE 1</t>
  </si>
  <si>
    <t>AGE 2</t>
  </si>
  <si>
    <t>AGE 3</t>
  </si>
  <si>
    <t>AGE 4</t>
  </si>
  <si>
    <t>AGE 5</t>
  </si>
  <si>
    <t>AGE 6</t>
  </si>
  <si>
    <t>AGE 7</t>
  </si>
  <si>
    <t>AGE 8</t>
  </si>
  <si>
    <t>AGE 9</t>
  </si>
  <si>
    <t>AGE 10</t>
  </si>
  <si>
    <t>AGE 12</t>
  </si>
  <si>
    <t>AGE 13</t>
  </si>
  <si>
    <t>AGE 14</t>
  </si>
  <si>
    <t>AGE 15</t>
  </si>
  <si>
    <t>AGE 16</t>
  </si>
  <si>
    <t>AGE 17</t>
  </si>
  <si>
    <t>AGE 18</t>
  </si>
  <si>
    <t>AGE 19</t>
  </si>
  <si>
    <t>AGE 20</t>
  </si>
  <si>
    <t>AGE 21</t>
  </si>
  <si>
    <t>AGE 22</t>
  </si>
  <si>
    <t>AGE 23</t>
  </si>
  <si>
    <t>AGE 24</t>
  </si>
  <si>
    <t>AGE 25</t>
  </si>
  <si>
    <t>AGE 26</t>
  </si>
  <si>
    <t>AGE 27</t>
  </si>
  <si>
    <t>AGE 28</t>
  </si>
  <si>
    <t>AGE 29</t>
  </si>
  <si>
    <t>Abundance at Age</t>
  </si>
  <si>
    <t>Catch at Age</t>
  </si>
  <si>
    <t>Spawing Stock Biomass and Recuitment</t>
  </si>
  <si>
    <t>Region</t>
  </si>
  <si>
    <t>Recruits from VPA</t>
  </si>
  <si>
    <t>Spawning Biomass</t>
  </si>
  <si>
    <t>Apical F</t>
  </si>
  <si>
    <t>sum</t>
  </si>
  <si>
    <t>Ref Line</t>
  </si>
  <si>
    <t>Names of Regions or Zones</t>
  </si>
  <si>
    <t>Region 1</t>
  </si>
  <si>
    <t>Region 2</t>
  </si>
  <si>
    <t>Titles for Indices of Abundance</t>
  </si>
  <si>
    <t>Index</t>
  </si>
  <si>
    <t>Title</t>
  </si>
  <si>
    <t>First Year</t>
  </si>
  <si>
    <t>NumYears</t>
  </si>
  <si>
    <t>First Age</t>
  </si>
  <si>
    <t>Last Age</t>
  </si>
  <si>
    <t>Plus Group Age</t>
  </si>
  <si>
    <t>Other Chart Titles</t>
  </si>
  <si>
    <t>Fishing Mortality Rate</t>
  </si>
  <si>
    <t>Number-at-Age</t>
  </si>
  <si>
    <t>Catch-at-Age</t>
  </si>
  <si>
    <t>Recruitment</t>
  </si>
  <si>
    <t>F-at-Age</t>
  </si>
  <si>
    <t>Abundance</t>
  </si>
  <si>
    <t>Total Catch</t>
  </si>
  <si>
    <t>Press this button to get and plot the results of the VPA.</t>
  </si>
  <si>
    <t xml:space="preserve"> -  Relative Selectivity by Age</t>
  </si>
  <si>
    <t>Obs</t>
  </si>
  <si>
    <t>Pred</t>
  </si>
  <si>
    <t>Residual</t>
  </si>
  <si>
    <t>Chi-Square Discrepancy</t>
  </si>
  <si>
    <t>Reference</t>
  </si>
  <si>
    <t>Number of Zones</t>
  </si>
  <si>
    <t>Year</t>
  </si>
  <si>
    <t>----</t>
  </si>
  <si>
    <t>Selectivities</t>
  </si>
  <si>
    <t>by</t>
  </si>
  <si>
    <t>age</t>
  </si>
  <si>
    <t>-----</t>
  </si>
  <si>
    <t>F Ratio</t>
  </si>
  <si>
    <t>Avg F 2-4</t>
  </si>
  <si>
    <t>Avg F 5-7</t>
  </si>
  <si>
    <t xml:space="preserve">Avg F 8+ </t>
  </si>
  <si>
    <t>Lognormal</t>
  </si>
  <si>
    <t>dist.</t>
  </si>
  <si>
    <t>numbers</t>
  </si>
  <si>
    <t>Ages</t>
  </si>
  <si>
    <t>-</t>
  </si>
  <si>
    <t>log-likelihood</t>
  </si>
  <si>
    <t>=</t>
  </si>
  <si>
    <t>deviance</t>
  </si>
  <si>
    <t>Chi-sq.</t>
  </si>
  <si>
    <t>discrepancy=</t>
  </si>
  <si>
    <t>Residuals</t>
  </si>
  <si>
    <t>Standard</t>
  </si>
  <si>
    <t>Q</t>
  </si>
  <si>
    <t>Untransfrmd</t>
  </si>
  <si>
    <t>Chi-square</t>
  </si>
  <si>
    <t>Observed</t>
  </si>
  <si>
    <t>Predicted</t>
  </si>
  <si>
    <t>(Obs-pred)</t>
  </si>
  <si>
    <t>Deviation</t>
  </si>
  <si>
    <t>Catchabil.</t>
  </si>
  <si>
    <t>Discrepancy</t>
  </si>
  <si>
    <t>-----------</t>
  </si>
  <si>
    <t>Not</t>
  </si>
  <si>
    <t>used</t>
  </si>
  <si>
    <t>month</t>
  </si>
  <si>
    <t>biomass</t>
  </si>
  <si>
    <t>Relative Index</t>
  </si>
  <si>
    <t>BRA_LL</t>
  </si>
  <si>
    <t>BRA_BB</t>
  </si>
  <si>
    <t>JPN_LL</t>
  </si>
  <si>
    <t>USMEX_LL</t>
  </si>
  <si>
    <t>US_RR</t>
  </si>
  <si>
    <t>US_PLL ATL</t>
  </si>
  <si>
    <t>VEN_LL</t>
  </si>
  <si>
    <t>VEN_PS</t>
  </si>
  <si>
    <t>EUR-FAD-PS</t>
  </si>
  <si>
    <t>EUR-PS 3%</t>
  </si>
  <si>
    <t>EU-DAKAR</t>
  </si>
  <si>
    <t>URU-LL</t>
  </si>
  <si>
    <t>BRA-URU-LL</t>
  </si>
  <si>
    <t>CHIN-TAI-LL</t>
  </si>
  <si>
    <t>TROP-PS</t>
  </si>
  <si>
    <t>CAN-IS-BB</t>
  </si>
  <si>
    <t>NOT-USED</t>
  </si>
  <si>
    <t>ATL</t>
  </si>
  <si>
    <t>AGE 11</t>
  </si>
  <si>
    <t>AGE 0</t>
  </si>
  <si>
    <t>Geomean (2003-2006)</t>
  </si>
</sst>
</file>

<file path=xl/styles.xml><?xml version="1.0" encoding="utf-8"?>
<styleSheet xmlns="http://schemas.openxmlformats.org/spreadsheetml/2006/main">
  <fonts count="7">
    <font>
      <sz val="10"/>
      <name val="Arial"/>
    </font>
    <font>
      <sz val="8"/>
      <name val="Arial"/>
      <family val="2"/>
    </font>
    <font>
      <b/>
      <sz val="12"/>
      <name val="Arial"/>
      <family val="2"/>
    </font>
    <font>
      <b/>
      <sz val="10"/>
      <color indexed="10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3" fillId="0" borderId="0" xfId="0" applyFont="1"/>
    <xf numFmtId="0" fontId="4" fillId="0" borderId="0" xfId="0" applyFont="1"/>
    <xf numFmtId="0" fontId="2" fillId="0" borderId="0" xfId="0" applyFont="1"/>
    <xf numFmtId="0" fontId="0" fillId="3" borderId="0" xfId="0" applyFill="1"/>
    <xf numFmtId="0" fontId="5" fillId="0" borderId="0" xfId="0" applyFont="1"/>
    <xf numFmtId="0" fontId="6" fillId="0" borderId="0" xfId="0" applyFont="1"/>
    <xf numFmtId="0" fontId="0" fillId="0" borderId="0" xfId="0" quotePrefix="1"/>
    <xf numFmtId="2" fontId="0" fillId="0" borderId="0" xfId="0" applyNumberFormat="1"/>
    <xf numFmtId="11" fontId="0" fillId="0" borderId="0" xfId="0" applyNumberFormat="1"/>
    <xf numFmtId="0" fontId="5" fillId="0" borderId="0" xfId="0" applyNumberFormat="1" applyFont="1" applyAlignment="1">
      <alignment horizontal="left" vertical="center"/>
    </xf>
    <xf numFmtId="0" fontId="5" fillId="2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LoadVBA2BOX"/>
  <ax:ocxPr ax:name="Size" ax:value="5159;2223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'Titles and Variables'!$I$8:$J$8</c:f>
          <c:strCache>
            <c:ptCount val="1"/>
            <c:pt idx="0">
              <c:v>ATL Fishing Mortality Rate</c:v>
            </c:pt>
          </c:strCache>
        </c:strRef>
      </c:tx>
      <c:layout>
        <c:manualLayout>
          <c:xMode val="edge"/>
          <c:yMode val="edge"/>
          <c:x val="0.28432978809839182"/>
          <c:y val="3.1476997578692628E-2"/>
        </c:manualLayout>
      </c:layout>
    </c:title>
    <c:plotArea>
      <c:layout>
        <c:manualLayout>
          <c:layoutTarget val="inner"/>
          <c:xMode val="edge"/>
          <c:yMode val="edge"/>
          <c:x val="0.16801305660359497"/>
          <c:y val="0.19128329297820823"/>
          <c:w val="0.71966079791808812"/>
          <c:h val="0.58837772397094168"/>
        </c:manualLayout>
      </c:layout>
      <c:scatterChart>
        <c:scatterStyle val="lineMarker"/>
        <c:ser>
          <c:idx val="0"/>
          <c:order val="0"/>
          <c:tx>
            <c:strRef>
              <c:f>'Table1-FAA'!$AF$3</c:f>
              <c:strCache>
                <c:ptCount val="1"/>
                <c:pt idx="0">
                  <c:v>Apical F</c:v>
                </c:pt>
              </c:strCache>
            </c:strRef>
          </c:tx>
          <c:xVal>
            <c:numRef>
              <c:f>'Table1-FAA'!$A$4:$A$100</c:f>
              <c:numCache>
                <c:formatCode>General</c:formatCode>
                <c:ptCount val="9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'Table1-FAA'!$AF$4:$AF$100</c:f>
              <c:numCache>
                <c:formatCode>General</c:formatCode>
                <c:ptCount val="97"/>
                <c:pt idx="0">
                  <c:v>0.152</c:v>
                </c:pt>
                <c:pt idx="1">
                  <c:v>0.154</c:v>
                </c:pt>
                <c:pt idx="2">
                  <c:v>0.20399999999999999</c:v>
                </c:pt>
                <c:pt idx="3">
                  <c:v>0.23100000000000001</c:v>
                </c:pt>
                <c:pt idx="4">
                  <c:v>0.26700000000000002</c:v>
                </c:pt>
                <c:pt idx="5">
                  <c:v>0.44400000000000001</c:v>
                </c:pt>
                <c:pt idx="6">
                  <c:v>0.51</c:v>
                </c:pt>
                <c:pt idx="7">
                  <c:v>0.46899999999999997</c:v>
                </c:pt>
                <c:pt idx="8">
                  <c:v>0.311</c:v>
                </c:pt>
                <c:pt idx="9">
                  <c:v>0.33900000000000002</c:v>
                </c:pt>
                <c:pt idx="10">
                  <c:v>0.35499999999999998</c:v>
                </c:pt>
                <c:pt idx="11">
                  <c:v>0.60399999999999998</c:v>
                </c:pt>
                <c:pt idx="12">
                  <c:v>0.73</c:v>
                </c:pt>
                <c:pt idx="13">
                  <c:v>0.88200000000000001</c:v>
                </c:pt>
                <c:pt idx="14">
                  <c:v>0.30199999999999999</c:v>
                </c:pt>
                <c:pt idx="15">
                  <c:v>0.64200000000000002</c:v>
                </c:pt>
                <c:pt idx="16">
                  <c:v>0.57999999999999996</c:v>
                </c:pt>
                <c:pt idx="17">
                  <c:v>0.55500000000000005</c:v>
                </c:pt>
                <c:pt idx="18">
                  <c:v>0.32800000000000001</c:v>
                </c:pt>
                <c:pt idx="19">
                  <c:v>0.66</c:v>
                </c:pt>
                <c:pt idx="20">
                  <c:v>0.98099999999999998</c:v>
                </c:pt>
                <c:pt idx="21">
                  <c:v>0.88900000000000001</c:v>
                </c:pt>
                <c:pt idx="22">
                  <c:v>1.0469999999999999</c:v>
                </c:pt>
                <c:pt idx="23">
                  <c:v>0.85799999999999998</c:v>
                </c:pt>
                <c:pt idx="24">
                  <c:v>1.0329999999999999</c:v>
                </c:pt>
                <c:pt idx="25">
                  <c:v>0.93400000000000005</c:v>
                </c:pt>
                <c:pt idx="26">
                  <c:v>0.82</c:v>
                </c:pt>
                <c:pt idx="27">
                  <c:v>0.71</c:v>
                </c:pt>
                <c:pt idx="28">
                  <c:v>0.89700000000000002</c:v>
                </c:pt>
                <c:pt idx="29">
                  <c:v>0.66900000000000004</c:v>
                </c:pt>
                <c:pt idx="30">
                  <c:v>0.65200000000000002</c:v>
                </c:pt>
                <c:pt idx="31">
                  <c:v>0.78300000000000003</c:v>
                </c:pt>
                <c:pt idx="32">
                  <c:v>0.55700000000000005</c:v>
                </c:pt>
                <c:pt idx="33">
                  <c:v>0.55600000000000005</c:v>
                </c:pt>
                <c:pt idx="34">
                  <c:v>0.59899999999999998</c:v>
                </c:pt>
                <c:pt idx="35">
                  <c:v>0.57899999999999996</c:v>
                </c:pt>
                <c:pt idx="36">
                  <c:v>0.66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</c:numCache>
            </c:numRef>
          </c:yVal>
        </c:ser>
        <c:axId val="255244928"/>
        <c:axId val="255263488"/>
      </c:scatterChart>
      <c:valAx>
        <c:axId val="25524492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Year</a:t>
                </a:r>
              </a:p>
            </c:rich>
          </c:tx>
          <c:layout>
            <c:manualLayout>
              <c:xMode val="edge"/>
              <c:yMode val="edge"/>
              <c:x val="0.42487917198793895"/>
              <c:y val="0.88619854721549662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100"/>
            </a:pPr>
            <a:endParaRPr lang="en-US"/>
          </a:p>
        </c:txPr>
        <c:crossAx val="255263488"/>
        <c:crosses val="autoZero"/>
        <c:crossBetween val="midCat"/>
        <c:majorUnit val="5"/>
        <c:minorUnit val="3.8539999999999988"/>
      </c:valAx>
      <c:valAx>
        <c:axId val="25526348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Apical</a:t>
                </a:r>
                <a:r>
                  <a:rPr lang="en-US" sz="1200" baseline="0"/>
                  <a:t> F</a:t>
                </a:r>
                <a:endParaRPr lang="en-US" sz="1200"/>
              </a:p>
            </c:rich>
          </c:tx>
          <c:layout>
            <c:manualLayout>
              <c:xMode val="edge"/>
              <c:yMode val="edge"/>
              <c:x val="2.5848162554399316E-2"/>
              <c:y val="0.23486682808716741"/>
            </c:manualLayout>
          </c:layout>
        </c:title>
        <c:numFmt formatCode="0.00" sourceLinked="0"/>
        <c:tickLblPos val="nextTo"/>
        <c:txPr>
          <a:bodyPr rot="0" vert="horz"/>
          <a:lstStyle/>
          <a:p>
            <a:pPr>
              <a:defRPr sz="1050"/>
            </a:pPr>
            <a:endParaRPr lang="en-US"/>
          </a:p>
        </c:txPr>
        <c:crossAx val="255244928"/>
        <c:crosses val="autoZero"/>
        <c:crossBetween val="midCat"/>
      </c:valAx>
    </c:plotArea>
    <c:plotVisOnly val="1"/>
    <c:dispBlanksAs val="gap"/>
  </c:chart>
  <c:printSettings>
    <c:headerFooter alignWithMargins="0"/>
    <c:pageMargins b="1" l="0.75000000000000155" r="0.7500000000000015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'Table1-FAA'!$AG$3</c:f>
              <c:strCache>
                <c:ptCount val="1"/>
                <c:pt idx="0">
                  <c:v>F Ratio</c:v>
                </c:pt>
              </c:strCache>
            </c:strRef>
          </c:tx>
          <c:xVal>
            <c:numRef>
              <c:f>'Table1-FAA'!$A$4:$A$40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'Table1-FAA'!$AG$4:$AG$40</c:f>
              <c:numCache>
                <c:formatCode>0.00</c:formatCode>
                <c:ptCount val="37"/>
                <c:pt idx="0">
                  <c:v>0.22368421052631582</c:v>
                </c:pt>
                <c:pt idx="1">
                  <c:v>0.22727272727272727</c:v>
                </c:pt>
                <c:pt idx="2">
                  <c:v>0.22754491017964071</c:v>
                </c:pt>
                <c:pt idx="3">
                  <c:v>0.22685185185185186</c:v>
                </c:pt>
                <c:pt idx="4">
                  <c:v>0.22471910112359547</c:v>
                </c:pt>
                <c:pt idx="5">
                  <c:v>0.22072072072072071</c:v>
                </c:pt>
                <c:pt idx="6">
                  <c:v>0.21176470588235294</c:v>
                </c:pt>
                <c:pt idx="7">
                  <c:v>0.20255863539445632</c:v>
                </c:pt>
                <c:pt idx="8">
                  <c:v>0.19614147909967844</c:v>
                </c:pt>
                <c:pt idx="9">
                  <c:v>0.1887905604719764</c:v>
                </c:pt>
                <c:pt idx="10">
                  <c:v>0.18309859154929578</c:v>
                </c:pt>
                <c:pt idx="11">
                  <c:v>0.17880794701986755</c:v>
                </c:pt>
                <c:pt idx="12">
                  <c:v>0.17397260273972603</c:v>
                </c:pt>
                <c:pt idx="13">
                  <c:v>0.16893424036281179</c:v>
                </c:pt>
                <c:pt idx="14">
                  <c:v>0.15942028985507245</c:v>
                </c:pt>
                <c:pt idx="15">
                  <c:v>0.15420560747663553</c:v>
                </c:pt>
                <c:pt idx="16">
                  <c:v>0.15517241379310345</c:v>
                </c:pt>
                <c:pt idx="17">
                  <c:v>0.15495495495495493</c:v>
                </c:pt>
                <c:pt idx="18">
                  <c:v>0.16249999999999998</c:v>
                </c:pt>
                <c:pt idx="19">
                  <c:v>0.16969696969696968</c:v>
                </c:pt>
                <c:pt idx="20">
                  <c:v>0.1783893985728848</c:v>
                </c:pt>
                <c:pt idx="21">
                  <c:v>0.18335208098987626</c:v>
                </c:pt>
                <c:pt idx="22">
                  <c:v>0.18720152817574023</c:v>
                </c:pt>
                <c:pt idx="23">
                  <c:v>0.19114219114219116</c:v>
                </c:pt>
                <c:pt idx="24">
                  <c:v>0.19845111326234269</c:v>
                </c:pt>
                <c:pt idx="25">
                  <c:v>0.21092077087794434</c:v>
                </c:pt>
                <c:pt idx="26">
                  <c:v>0.22560975609756098</c:v>
                </c:pt>
                <c:pt idx="27">
                  <c:v>0.25070422535211268</c:v>
                </c:pt>
                <c:pt idx="28">
                  <c:v>0.28316610925306579</c:v>
                </c:pt>
                <c:pt idx="29">
                  <c:v>0.30941704035874434</c:v>
                </c:pt>
                <c:pt idx="30">
                  <c:v>0.32515337423312879</c:v>
                </c:pt>
                <c:pt idx="31">
                  <c:v>0.33333333333333331</c:v>
                </c:pt>
                <c:pt idx="32">
                  <c:v>0.33034111310592457</c:v>
                </c:pt>
                <c:pt idx="33">
                  <c:v>0.32374100719424459</c:v>
                </c:pt>
                <c:pt idx="34">
                  <c:v>0.31385642737896496</c:v>
                </c:pt>
                <c:pt idx="35">
                  <c:v>0.30051813471502592</c:v>
                </c:pt>
                <c:pt idx="36">
                  <c:v>0.29545454545454547</c:v>
                </c:pt>
              </c:numCache>
            </c:numRef>
          </c:yVal>
        </c:ser>
        <c:axId val="255312256"/>
        <c:axId val="255314176"/>
      </c:scatterChart>
      <c:valAx>
        <c:axId val="25531225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Year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255314176"/>
        <c:crosses val="autoZero"/>
        <c:crossBetween val="midCat"/>
      </c:valAx>
      <c:valAx>
        <c:axId val="25531417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F Ratio (F5+/F4)</a:t>
                </a:r>
              </a:p>
            </c:rich>
          </c:tx>
          <c:layout/>
        </c:title>
        <c:numFmt formatCode="0.00" sourceLinked="1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255312256"/>
        <c:crosses val="autoZero"/>
        <c:crossBetween val="midCat"/>
      </c:valAx>
    </c:plotArea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Terminal FAA (2003-2006)</a:t>
            </a:r>
          </a:p>
        </c:rich>
      </c:tx>
      <c:layout>
        <c:manualLayout>
          <c:xMode val="edge"/>
          <c:yMode val="edge"/>
          <c:x val="0.20424732697886452"/>
          <c:y val="4.7445255474452538E-2"/>
        </c:manualLayout>
      </c:layout>
    </c:title>
    <c:plotArea>
      <c:layout/>
      <c:scatterChart>
        <c:scatterStyle val="lineMarker"/>
        <c:ser>
          <c:idx val="0"/>
          <c:order val="0"/>
          <c:tx>
            <c:strRef>
              <c:f>'Table1-FAA'!$A$37</c:f>
              <c:strCache>
                <c:ptCount val="1"/>
                <c:pt idx="0">
                  <c:v>2003</c:v>
                </c:pt>
              </c:strCache>
            </c:strRef>
          </c:tx>
          <c:marker>
            <c:symbol val="none"/>
          </c:marker>
          <c:xVal>
            <c:strRef>
              <c:f>'Table1-FAA'!$B$3:$G$3</c:f>
              <c:strCache>
                <c:ptCount val="6"/>
                <c:pt idx="0">
                  <c:v>AGE 0</c:v>
                </c:pt>
                <c:pt idx="1">
                  <c:v>AGE 1</c:v>
                </c:pt>
                <c:pt idx="2">
                  <c:v>AGE 2</c:v>
                </c:pt>
                <c:pt idx="3">
                  <c:v>AGE 3</c:v>
                </c:pt>
                <c:pt idx="4">
                  <c:v>AGE 4</c:v>
                </c:pt>
                <c:pt idx="5">
                  <c:v>AGE 5</c:v>
                </c:pt>
              </c:strCache>
            </c:strRef>
          </c:xVal>
          <c:yVal>
            <c:numRef>
              <c:f>'Table1-FAA'!$B$37:$G$37</c:f>
              <c:numCache>
                <c:formatCode>General</c:formatCode>
                <c:ptCount val="6"/>
                <c:pt idx="0">
                  <c:v>0.17699999999999999</c:v>
                </c:pt>
                <c:pt idx="1">
                  <c:v>0.54600000000000004</c:v>
                </c:pt>
                <c:pt idx="2">
                  <c:v>0.188</c:v>
                </c:pt>
                <c:pt idx="3">
                  <c:v>0.42499999999999999</c:v>
                </c:pt>
                <c:pt idx="4">
                  <c:v>0.55600000000000005</c:v>
                </c:pt>
                <c:pt idx="5">
                  <c:v>0.18</c:v>
                </c:pt>
              </c:numCache>
            </c:numRef>
          </c:yVal>
        </c:ser>
        <c:ser>
          <c:idx val="1"/>
          <c:order val="1"/>
          <c:tx>
            <c:strRef>
              <c:f>'Table1-FAA'!$A$38</c:f>
              <c:strCache>
                <c:ptCount val="1"/>
                <c:pt idx="0">
                  <c:v>2004</c:v>
                </c:pt>
              </c:strCache>
            </c:strRef>
          </c:tx>
          <c:marker>
            <c:symbol val="none"/>
          </c:marker>
          <c:xVal>
            <c:strRef>
              <c:f>'Table1-FAA'!$B$3:$G$3</c:f>
              <c:strCache>
                <c:ptCount val="6"/>
                <c:pt idx="0">
                  <c:v>AGE 0</c:v>
                </c:pt>
                <c:pt idx="1">
                  <c:v>AGE 1</c:v>
                </c:pt>
                <c:pt idx="2">
                  <c:v>AGE 2</c:v>
                </c:pt>
                <c:pt idx="3">
                  <c:v>AGE 3</c:v>
                </c:pt>
                <c:pt idx="4">
                  <c:v>AGE 4</c:v>
                </c:pt>
                <c:pt idx="5">
                  <c:v>AGE 5</c:v>
                </c:pt>
              </c:strCache>
            </c:strRef>
          </c:xVal>
          <c:yVal>
            <c:numRef>
              <c:f>'Table1-FAA'!$B$38:$G$38</c:f>
              <c:numCache>
                <c:formatCode>General</c:formatCode>
                <c:ptCount val="6"/>
                <c:pt idx="0">
                  <c:v>0.152</c:v>
                </c:pt>
                <c:pt idx="1">
                  <c:v>0.443</c:v>
                </c:pt>
                <c:pt idx="2">
                  <c:v>0.27600000000000002</c:v>
                </c:pt>
                <c:pt idx="3">
                  <c:v>0.39</c:v>
                </c:pt>
                <c:pt idx="4">
                  <c:v>0.59899999999999998</c:v>
                </c:pt>
                <c:pt idx="5">
                  <c:v>0.188</c:v>
                </c:pt>
              </c:numCache>
            </c:numRef>
          </c:yVal>
        </c:ser>
        <c:ser>
          <c:idx val="2"/>
          <c:order val="2"/>
          <c:tx>
            <c:strRef>
              <c:f>'Table1-FAA'!$A$39</c:f>
              <c:strCache>
                <c:ptCount val="1"/>
                <c:pt idx="0">
                  <c:v>2005</c:v>
                </c:pt>
              </c:strCache>
            </c:strRef>
          </c:tx>
          <c:marker>
            <c:symbol val="none"/>
          </c:marker>
          <c:xVal>
            <c:strRef>
              <c:f>'Table1-FAA'!$B$3:$G$3</c:f>
              <c:strCache>
                <c:ptCount val="6"/>
                <c:pt idx="0">
                  <c:v>AGE 0</c:v>
                </c:pt>
                <c:pt idx="1">
                  <c:v>AGE 1</c:v>
                </c:pt>
                <c:pt idx="2">
                  <c:v>AGE 2</c:v>
                </c:pt>
                <c:pt idx="3">
                  <c:v>AGE 3</c:v>
                </c:pt>
                <c:pt idx="4">
                  <c:v>AGE 4</c:v>
                </c:pt>
                <c:pt idx="5">
                  <c:v>AGE 5</c:v>
                </c:pt>
              </c:strCache>
            </c:strRef>
          </c:xVal>
          <c:yVal>
            <c:numRef>
              <c:f>'Table1-FAA'!$B$39:$G$39</c:f>
              <c:numCache>
                <c:formatCode>General</c:formatCode>
                <c:ptCount val="6"/>
                <c:pt idx="0">
                  <c:v>0.11600000000000001</c:v>
                </c:pt>
                <c:pt idx="1">
                  <c:v>0.42099999999999999</c:v>
                </c:pt>
                <c:pt idx="2">
                  <c:v>0.19700000000000001</c:v>
                </c:pt>
                <c:pt idx="3">
                  <c:v>0.34</c:v>
                </c:pt>
                <c:pt idx="4">
                  <c:v>0.57899999999999996</c:v>
                </c:pt>
                <c:pt idx="5">
                  <c:v>0.17399999999999999</c:v>
                </c:pt>
              </c:numCache>
            </c:numRef>
          </c:yVal>
        </c:ser>
        <c:ser>
          <c:idx val="3"/>
          <c:order val="3"/>
          <c:tx>
            <c:strRef>
              <c:f>'Table1-FAA'!$A$40</c:f>
              <c:strCache>
                <c:ptCount val="1"/>
                <c:pt idx="0">
                  <c:v>2006</c:v>
                </c:pt>
              </c:strCache>
            </c:strRef>
          </c:tx>
          <c:marker>
            <c:symbol val="none"/>
          </c:marker>
          <c:xVal>
            <c:strRef>
              <c:f>'Table1-FAA'!$B$3:$G$3</c:f>
              <c:strCache>
                <c:ptCount val="6"/>
                <c:pt idx="0">
                  <c:v>AGE 0</c:v>
                </c:pt>
                <c:pt idx="1">
                  <c:v>AGE 1</c:v>
                </c:pt>
                <c:pt idx="2">
                  <c:v>AGE 2</c:v>
                </c:pt>
                <c:pt idx="3">
                  <c:v>AGE 3</c:v>
                </c:pt>
                <c:pt idx="4">
                  <c:v>AGE 4</c:v>
                </c:pt>
                <c:pt idx="5">
                  <c:v>AGE 5</c:v>
                </c:pt>
              </c:strCache>
            </c:strRef>
          </c:xVal>
          <c:yVal>
            <c:numRef>
              <c:f>'Table1-FAA'!$B$40:$G$40</c:f>
              <c:numCache>
                <c:formatCode>General</c:formatCode>
                <c:ptCount val="6"/>
                <c:pt idx="0">
                  <c:v>0.09</c:v>
                </c:pt>
                <c:pt idx="1">
                  <c:v>0.20300000000000001</c:v>
                </c:pt>
                <c:pt idx="2">
                  <c:v>0.219</c:v>
                </c:pt>
                <c:pt idx="3">
                  <c:v>0.40500000000000003</c:v>
                </c:pt>
                <c:pt idx="4">
                  <c:v>0.66</c:v>
                </c:pt>
                <c:pt idx="5">
                  <c:v>0.19500000000000001</c:v>
                </c:pt>
              </c:numCache>
            </c:numRef>
          </c:yVal>
        </c:ser>
        <c:ser>
          <c:idx val="5"/>
          <c:order val="4"/>
          <c:tx>
            <c:strRef>
              <c:f>'Table1-FAA'!$A$1</c:f>
              <c:strCache>
                <c:ptCount val="1"/>
                <c:pt idx="0">
                  <c:v>Geomean (2003-2006)</c:v>
                </c:pt>
              </c:strCache>
            </c:strRef>
          </c:tx>
          <c:spPr>
            <a:ln w="53975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strRef>
              <c:f>'Table1-FAA'!$B$3:$G$3</c:f>
              <c:strCache>
                <c:ptCount val="6"/>
                <c:pt idx="0">
                  <c:v>AGE 0</c:v>
                </c:pt>
                <c:pt idx="1">
                  <c:v>AGE 1</c:v>
                </c:pt>
                <c:pt idx="2">
                  <c:v>AGE 2</c:v>
                </c:pt>
                <c:pt idx="3">
                  <c:v>AGE 3</c:v>
                </c:pt>
                <c:pt idx="4">
                  <c:v>AGE 4</c:v>
                </c:pt>
                <c:pt idx="5">
                  <c:v>AGE 5</c:v>
                </c:pt>
              </c:strCache>
            </c:strRef>
          </c:xVal>
          <c:yVal>
            <c:numRef>
              <c:f>'Table1-FAA'!$B$1:$G$1</c:f>
              <c:numCache>
                <c:formatCode>General</c:formatCode>
                <c:ptCount val="6"/>
                <c:pt idx="0">
                  <c:v>0.12945813263023218</c:v>
                </c:pt>
                <c:pt idx="1">
                  <c:v>0.37917843143214641</c:v>
                </c:pt>
                <c:pt idx="2">
                  <c:v>0.21751755757977351</c:v>
                </c:pt>
                <c:pt idx="3">
                  <c:v>0.38868418424822221</c:v>
                </c:pt>
                <c:pt idx="4">
                  <c:v>0.59728420252082493</c:v>
                </c:pt>
                <c:pt idx="5">
                  <c:v>0.18407870631745743</c:v>
                </c:pt>
              </c:numCache>
            </c:numRef>
          </c:yVal>
        </c:ser>
        <c:axId val="255554688"/>
        <c:axId val="255556608"/>
      </c:scatterChart>
      <c:valAx>
        <c:axId val="2555546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AGE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55556608"/>
        <c:crosses val="autoZero"/>
        <c:crossBetween val="midCat"/>
      </c:valAx>
      <c:valAx>
        <c:axId val="25555660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Fishing Mortality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55554688"/>
        <c:crosses val="autoZero"/>
        <c:crossBetween val="midCat"/>
      </c:valAx>
    </c:plotArea>
    <c:legend>
      <c:legendPos val="r"/>
      <c:layout/>
      <c:txPr>
        <a:bodyPr/>
        <a:lstStyle/>
        <a:p>
          <a:pPr>
            <a:defRPr sz="1100"/>
          </a:pPr>
          <a:endParaRPr lang="en-US"/>
        </a:p>
      </c:txPr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'Titles and Variables'!$J$9</c:f>
          <c:strCache>
            <c:ptCount val="1"/>
            <c:pt idx="0">
              <c:v>F-at-Age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'Table1-FAA'!$B$3</c:f>
              <c:strCache>
                <c:ptCount val="1"/>
                <c:pt idx="0">
                  <c:v>AGE 0</c:v>
                </c:pt>
              </c:strCache>
            </c:strRef>
          </c:tx>
          <c:xVal>
            <c:numRef>
              <c:f>'Table1-FAA'!$A$4:$A$40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'Table1-FAA'!$B$4:$B$40</c:f>
              <c:numCache>
                <c:formatCode>General</c:formatCode>
                <c:ptCount val="37"/>
                <c:pt idx="0">
                  <c:v>8.0000000000000002E-3</c:v>
                </c:pt>
                <c:pt idx="1">
                  <c:v>8.0000000000000002E-3</c:v>
                </c:pt>
                <c:pt idx="2">
                  <c:v>0.01</c:v>
                </c:pt>
                <c:pt idx="3">
                  <c:v>6.0000000000000001E-3</c:v>
                </c:pt>
                <c:pt idx="4">
                  <c:v>0.02</c:v>
                </c:pt>
                <c:pt idx="5">
                  <c:v>3.4000000000000002E-2</c:v>
                </c:pt>
                <c:pt idx="6">
                  <c:v>0.04</c:v>
                </c:pt>
                <c:pt idx="7">
                  <c:v>3.1E-2</c:v>
                </c:pt>
                <c:pt idx="8">
                  <c:v>3.7999999999999999E-2</c:v>
                </c:pt>
                <c:pt idx="9">
                  <c:v>4.5999999999999999E-2</c:v>
                </c:pt>
                <c:pt idx="10">
                  <c:v>0.08</c:v>
                </c:pt>
                <c:pt idx="11">
                  <c:v>0.121</c:v>
                </c:pt>
                <c:pt idx="12">
                  <c:v>5.6000000000000001E-2</c:v>
                </c:pt>
                <c:pt idx="13">
                  <c:v>7.0999999999999994E-2</c:v>
                </c:pt>
                <c:pt idx="14">
                  <c:v>5.7000000000000002E-2</c:v>
                </c:pt>
                <c:pt idx="15">
                  <c:v>7.2999999999999995E-2</c:v>
                </c:pt>
                <c:pt idx="16">
                  <c:v>7.2999999999999995E-2</c:v>
                </c:pt>
                <c:pt idx="17">
                  <c:v>0.126</c:v>
                </c:pt>
                <c:pt idx="18">
                  <c:v>0.11899999999999999</c:v>
                </c:pt>
                <c:pt idx="19">
                  <c:v>0.11600000000000001</c:v>
                </c:pt>
                <c:pt idx="20">
                  <c:v>0.13900000000000001</c:v>
                </c:pt>
                <c:pt idx="21">
                  <c:v>0.13300000000000001</c:v>
                </c:pt>
                <c:pt idx="22">
                  <c:v>0.121</c:v>
                </c:pt>
                <c:pt idx="23">
                  <c:v>0.158</c:v>
                </c:pt>
                <c:pt idx="24">
                  <c:v>0.115</c:v>
                </c:pt>
                <c:pt idx="25">
                  <c:v>0.124</c:v>
                </c:pt>
                <c:pt idx="26">
                  <c:v>0.127</c:v>
                </c:pt>
                <c:pt idx="27">
                  <c:v>0.10299999999999999</c:v>
                </c:pt>
                <c:pt idx="28">
                  <c:v>8.1000000000000003E-2</c:v>
                </c:pt>
                <c:pt idx="29">
                  <c:v>0.128</c:v>
                </c:pt>
                <c:pt idx="30">
                  <c:v>0.17399999999999999</c:v>
                </c:pt>
                <c:pt idx="31">
                  <c:v>0.155</c:v>
                </c:pt>
                <c:pt idx="32">
                  <c:v>0.17599999999999999</c:v>
                </c:pt>
                <c:pt idx="33">
                  <c:v>0.17699999999999999</c:v>
                </c:pt>
                <c:pt idx="34">
                  <c:v>0.152</c:v>
                </c:pt>
                <c:pt idx="35">
                  <c:v>0.11600000000000001</c:v>
                </c:pt>
                <c:pt idx="36">
                  <c:v>0.09</c:v>
                </c:pt>
              </c:numCache>
            </c:numRef>
          </c:yVal>
        </c:ser>
        <c:ser>
          <c:idx val="1"/>
          <c:order val="1"/>
          <c:tx>
            <c:strRef>
              <c:f>'Table1-FAA'!$C$3</c:f>
              <c:strCache>
                <c:ptCount val="1"/>
                <c:pt idx="0">
                  <c:v>AGE 1</c:v>
                </c:pt>
              </c:strCache>
            </c:strRef>
          </c:tx>
          <c:xVal>
            <c:numRef>
              <c:f>'Table1-FAA'!$A$4:$A$40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'Table1-FAA'!$C$4:$C$40</c:f>
              <c:numCache>
                <c:formatCode>General</c:formatCode>
                <c:ptCount val="37"/>
                <c:pt idx="0">
                  <c:v>0.114</c:v>
                </c:pt>
                <c:pt idx="1">
                  <c:v>0.107</c:v>
                </c:pt>
                <c:pt idx="2">
                  <c:v>0.114</c:v>
                </c:pt>
                <c:pt idx="3">
                  <c:v>0.10100000000000001</c:v>
                </c:pt>
                <c:pt idx="4">
                  <c:v>0.14799999999999999</c:v>
                </c:pt>
                <c:pt idx="5">
                  <c:v>0.14799999999999999</c:v>
                </c:pt>
                <c:pt idx="6">
                  <c:v>0.16500000000000001</c:v>
                </c:pt>
                <c:pt idx="7">
                  <c:v>0.183</c:v>
                </c:pt>
                <c:pt idx="8">
                  <c:v>0.189</c:v>
                </c:pt>
                <c:pt idx="9">
                  <c:v>0.223</c:v>
                </c:pt>
                <c:pt idx="10">
                  <c:v>0.23100000000000001</c:v>
                </c:pt>
                <c:pt idx="11">
                  <c:v>0.26300000000000001</c:v>
                </c:pt>
                <c:pt idx="12">
                  <c:v>0.33400000000000002</c:v>
                </c:pt>
                <c:pt idx="13">
                  <c:v>0.251</c:v>
                </c:pt>
                <c:pt idx="14">
                  <c:v>0.30199999999999999</c:v>
                </c:pt>
                <c:pt idx="15">
                  <c:v>0.20399999999999999</c:v>
                </c:pt>
                <c:pt idx="16">
                  <c:v>0.188</c:v>
                </c:pt>
                <c:pt idx="17">
                  <c:v>0.217</c:v>
                </c:pt>
                <c:pt idx="18">
                  <c:v>0.26900000000000002</c:v>
                </c:pt>
                <c:pt idx="19">
                  <c:v>0.25900000000000001</c:v>
                </c:pt>
                <c:pt idx="20">
                  <c:v>0.318</c:v>
                </c:pt>
                <c:pt idx="21">
                  <c:v>0.30599999999999999</c:v>
                </c:pt>
                <c:pt idx="22">
                  <c:v>0.28799999999999998</c:v>
                </c:pt>
                <c:pt idx="23">
                  <c:v>0.28299999999999997</c:v>
                </c:pt>
                <c:pt idx="24">
                  <c:v>0.32800000000000001</c:v>
                </c:pt>
                <c:pt idx="25">
                  <c:v>0.30599999999999999</c:v>
                </c:pt>
                <c:pt idx="26">
                  <c:v>0.36099999999999999</c:v>
                </c:pt>
                <c:pt idx="27">
                  <c:v>0.40100000000000002</c:v>
                </c:pt>
                <c:pt idx="28">
                  <c:v>0.40799999999999997</c:v>
                </c:pt>
                <c:pt idx="29">
                  <c:v>0.51800000000000002</c:v>
                </c:pt>
                <c:pt idx="30">
                  <c:v>0.34</c:v>
                </c:pt>
                <c:pt idx="31">
                  <c:v>0.67700000000000005</c:v>
                </c:pt>
                <c:pt idx="32">
                  <c:v>0.50700000000000001</c:v>
                </c:pt>
                <c:pt idx="33">
                  <c:v>0.54600000000000004</c:v>
                </c:pt>
                <c:pt idx="34">
                  <c:v>0.443</c:v>
                </c:pt>
                <c:pt idx="35">
                  <c:v>0.42099999999999999</c:v>
                </c:pt>
                <c:pt idx="36">
                  <c:v>0.20300000000000001</c:v>
                </c:pt>
              </c:numCache>
            </c:numRef>
          </c:yVal>
        </c:ser>
        <c:ser>
          <c:idx val="2"/>
          <c:order val="2"/>
          <c:tx>
            <c:strRef>
              <c:f>'Table1-FAA'!$D$3</c:f>
              <c:strCache>
                <c:ptCount val="1"/>
                <c:pt idx="0">
                  <c:v>AGE 2</c:v>
                </c:pt>
              </c:strCache>
            </c:strRef>
          </c:tx>
          <c:xVal>
            <c:numRef>
              <c:f>'Table1-FAA'!$A$4:$A$40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'Table1-FAA'!$D$4:$D$40</c:f>
              <c:numCache>
                <c:formatCode>General</c:formatCode>
                <c:ptCount val="37"/>
                <c:pt idx="0">
                  <c:v>8.2000000000000003E-2</c:v>
                </c:pt>
                <c:pt idx="1">
                  <c:v>0.154</c:v>
                </c:pt>
                <c:pt idx="2">
                  <c:v>0.189</c:v>
                </c:pt>
                <c:pt idx="3">
                  <c:v>0.16200000000000001</c:v>
                </c:pt>
                <c:pt idx="4">
                  <c:v>0.192</c:v>
                </c:pt>
                <c:pt idx="5">
                  <c:v>0.252</c:v>
                </c:pt>
                <c:pt idx="6">
                  <c:v>0.17599999999999999</c:v>
                </c:pt>
                <c:pt idx="7">
                  <c:v>0.189</c:v>
                </c:pt>
                <c:pt idx="8">
                  <c:v>0.22</c:v>
                </c:pt>
                <c:pt idx="9">
                  <c:v>0.127</c:v>
                </c:pt>
                <c:pt idx="10">
                  <c:v>0.186</c:v>
                </c:pt>
                <c:pt idx="11">
                  <c:v>0.219</c:v>
                </c:pt>
                <c:pt idx="12">
                  <c:v>0.23499999999999999</c:v>
                </c:pt>
                <c:pt idx="13">
                  <c:v>0.22600000000000001</c:v>
                </c:pt>
                <c:pt idx="14">
                  <c:v>0.27800000000000002</c:v>
                </c:pt>
                <c:pt idx="15">
                  <c:v>0.253</c:v>
                </c:pt>
                <c:pt idx="16">
                  <c:v>0.157</c:v>
                </c:pt>
                <c:pt idx="17">
                  <c:v>0.159</c:v>
                </c:pt>
                <c:pt idx="18">
                  <c:v>0.14000000000000001</c:v>
                </c:pt>
                <c:pt idx="19">
                  <c:v>0.128</c:v>
                </c:pt>
                <c:pt idx="20">
                  <c:v>0.155</c:v>
                </c:pt>
                <c:pt idx="21">
                  <c:v>0.16700000000000001</c:v>
                </c:pt>
                <c:pt idx="22">
                  <c:v>0.18099999999999999</c:v>
                </c:pt>
                <c:pt idx="23">
                  <c:v>0.23400000000000001</c:v>
                </c:pt>
                <c:pt idx="24">
                  <c:v>0.318</c:v>
                </c:pt>
                <c:pt idx="25">
                  <c:v>0.21299999999999999</c:v>
                </c:pt>
                <c:pt idx="26">
                  <c:v>0.219</c:v>
                </c:pt>
                <c:pt idx="27">
                  <c:v>0.19800000000000001</c:v>
                </c:pt>
                <c:pt idx="28">
                  <c:v>0.23899999999999999</c:v>
                </c:pt>
                <c:pt idx="29">
                  <c:v>0.28399999999999997</c:v>
                </c:pt>
                <c:pt idx="30">
                  <c:v>0.16800000000000001</c:v>
                </c:pt>
                <c:pt idx="31">
                  <c:v>0.252</c:v>
                </c:pt>
                <c:pt idx="32">
                  <c:v>0.214</c:v>
                </c:pt>
                <c:pt idx="33">
                  <c:v>0.188</c:v>
                </c:pt>
                <c:pt idx="34">
                  <c:v>0.27600000000000002</c:v>
                </c:pt>
                <c:pt idx="35">
                  <c:v>0.19700000000000001</c:v>
                </c:pt>
                <c:pt idx="36">
                  <c:v>0.219</c:v>
                </c:pt>
              </c:numCache>
            </c:numRef>
          </c:yVal>
        </c:ser>
        <c:ser>
          <c:idx val="3"/>
          <c:order val="3"/>
          <c:tx>
            <c:strRef>
              <c:f>'Table1-FAA'!$E$3</c:f>
              <c:strCache>
                <c:ptCount val="1"/>
                <c:pt idx="0">
                  <c:v>AGE 3</c:v>
                </c:pt>
              </c:strCache>
            </c:strRef>
          </c:tx>
          <c:xVal>
            <c:numRef>
              <c:f>'Table1-FAA'!$A$4:$A$40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'Table1-FAA'!$E$4:$E$40</c:f>
              <c:numCache>
                <c:formatCode>General</c:formatCode>
                <c:ptCount val="37"/>
                <c:pt idx="0">
                  <c:v>0.14000000000000001</c:v>
                </c:pt>
                <c:pt idx="1">
                  <c:v>0.129</c:v>
                </c:pt>
                <c:pt idx="2">
                  <c:v>0.20399999999999999</c:v>
                </c:pt>
                <c:pt idx="3">
                  <c:v>0.23100000000000001</c:v>
                </c:pt>
                <c:pt idx="4">
                  <c:v>0.25900000000000001</c:v>
                </c:pt>
                <c:pt idx="5">
                  <c:v>0.29299999999999998</c:v>
                </c:pt>
                <c:pt idx="6">
                  <c:v>0.30399999999999999</c:v>
                </c:pt>
                <c:pt idx="7">
                  <c:v>0.27900000000000003</c:v>
                </c:pt>
                <c:pt idx="8">
                  <c:v>0.29299999999999998</c:v>
                </c:pt>
                <c:pt idx="9">
                  <c:v>0.30599999999999999</c:v>
                </c:pt>
                <c:pt idx="10">
                  <c:v>0.26500000000000001</c:v>
                </c:pt>
                <c:pt idx="11">
                  <c:v>0.32100000000000001</c:v>
                </c:pt>
                <c:pt idx="12">
                  <c:v>0.44800000000000001</c:v>
                </c:pt>
                <c:pt idx="13">
                  <c:v>0.58599999999999997</c:v>
                </c:pt>
                <c:pt idx="14">
                  <c:v>0.26900000000000002</c:v>
                </c:pt>
                <c:pt idx="15">
                  <c:v>0.33600000000000002</c:v>
                </c:pt>
                <c:pt idx="16">
                  <c:v>0.39800000000000002</c:v>
                </c:pt>
                <c:pt idx="17">
                  <c:v>0.28699999999999998</c:v>
                </c:pt>
                <c:pt idx="18">
                  <c:v>0.32800000000000001</c:v>
                </c:pt>
                <c:pt idx="19">
                  <c:v>0.34200000000000003</c:v>
                </c:pt>
                <c:pt idx="20">
                  <c:v>0.43</c:v>
                </c:pt>
                <c:pt idx="21">
                  <c:v>0.42</c:v>
                </c:pt>
                <c:pt idx="22">
                  <c:v>0.44500000000000001</c:v>
                </c:pt>
                <c:pt idx="23">
                  <c:v>0.502</c:v>
                </c:pt>
                <c:pt idx="24">
                  <c:v>0.41399999999999998</c:v>
                </c:pt>
                <c:pt idx="25">
                  <c:v>0.371</c:v>
                </c:pt>
                <c:pt idx="26">
                  <c:v>0.38200000000000001</c:v>
                </c:pt>
                <c:pt idx="27">
                  <c:v>0.31900000000000001</c:v>
                </c:pt>
                <c:pt idx="28">
                  <c:v>0.35799999999999998</c:v>
                </c:pt>
                <c:pt idx="29">
                  <c:v>0.36899999999999999</c:v>
                </c:pt>
                <c:pt idx="30">
                  <c:v>0.495</c:v>
                </c:pt>
                <c:pt idx="31">
                  <c:v>0.39800000000000002</c:v>
                </c:pt>
                <c:pt idx="32">
                  <c:v>0.34499999999999997</c:v>
                </c:pt>
                <c:pt idx="33">
                  <c:v>0.42499999999999999</c:v>
                </c:pt>
                <c:pt idx="34">
                  <c:v>0.39</c:v>
                </c:pt>
                <c:pt idx="35">
                  <c:v>0.34</c:v>
                </c:pt>
                <c:pt idx="36">
                  <c:v>0.40500000000000003</c:v>
                </c:pt>
              </c:numCache>
            </c:numRef>
          </c:yVal>
        </c:ser>
        <c:ser>
          <c:idx val="4"/>
          <c:order val="4"/>
          <c:tx>
            <c:strRef>
              <c:f>'Table1-FAA'!$F$3</c:f>
              <c:strCache>
                <c:ptCount val="1"/>
                <c:pt idx="0">
                  <c:v>AGE 4</c:v>
                </c:pt>
              </c:strCache>
            </c:strRef>
          </c:tx>
          <c:xVal>
            <c:numRef>
              <c:f>'Table1-FAA'!$A$4:$A$40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'Table1-FAA'!$F$4:$F$40</c:f>
              <c:numCache>
                <c:formatCode>General</c:formatCode>
                <c:ptCount val="37"/>
                <c:pt idx="0">
                  <c:v>0.152</c:v>
                </c:pt>
                <c:pt idx="1">
                  <c:v>0.13200000000000001</c:v>
                </c:pt>
                <c:pt idx="2">
                  <c:v>0.16700000000000001</c:v>
                </c:pt>
                <c:pt idx="3">
                  <c:v>0.216</c:v>
                </c:pt>
                <c:pt idx="4">
                  <c:v>0.26700000000000002</c:v>
                </c:pt>
                <c:pt idx="5">
                  <c:v>0.44400000000000001</c:v>
                </c:pt>
                <c:pt idx="6">
                  <c:v>0.51</c:v>
                </c:pt>
                <c:pt idx="7">
                  <c:v>0.46899999999999997</c:v>
                </c:pt>
                <c:pt idx="8">
                  <c:v>0.311</c:v>
                </c:pt>
                <c:pt idx="9">
                  <c:v>0.33900000000000002</c:v>
                </c:pt>
                <c:pt idx="10">
                  <c:v>0.35499999999999998</c:v>
                </c:pt>
                <c:pt idx="11">
                  <c:v>0.60399999999999998</c:v>
                </c:pt>
                <c:pt idx="12">
                  <c:v>0.73</c:v>
                </c:pt>
                <c:pt idx="13">
                  <c:v>0.88200000000000001</c:v>
                </c:pt>
                <c:pt idx="14">
                  <c:v>0.27600000000000002</c:v>
                </c:pt>
                <c:pt idx="15">
                  <c:v>0.64200000000000002</c:v>
                </c:pt>
                <c:pt idx="16">
                  <c:v>0.57999999999999996</c:v>
                </c:pt>
                <c:pt idx="17">
                  <c:v>0.55500000000000005</c:v>
                </c:pt>
                <c:pt idx="18">
                  <c:v>0.32</c:v>
                </c:pt>
                <c:pt idx="19">
                  <c:v>0.66</c:v>
                </c:pt>
                <c:pt idx="20">
                  <c:v>0.98099999999999998</c:v>
                </c:pt>
                <c:pt idx="21">
                  <c:v>0.88900000000000001</c:v>
                </c:pt>
                <c:pt idx="22">
                  <c:v>1.0469999999999999</c:v>
                </c:pt>
                <c:pt idx="23">
                  <c:v>0.85799999999999998</c:v>
                </c:pt>
                <c:pt idx="24">
                  <c:v>1.0329999999999999</c:v>
                </c:pt>
                <c:pt idx="25">
                  <c:v>0.93400000000000005</c:v>
                </c:pt>
                <c:pt idx="26">
                  <c:v>0.82</c:v>
                </c:pt>
                <c:pt idx="27">
                  <c:v>0.71</c:v>
                </c:pt>
                <c:pt idx="28">
                  <c:v>0.89700000000000002</c:v>
                </c:pt>
                <c:pt idx="29">
                  <c:v>0.66900000000000004</c:v>
                </c:pt>
                <c:pt idx="30">
                  <c:v>0.65200000000000002</c:v>
                </c:pt>
                <c:pt idx="31">
                  <c:v>0.78300000000000003</c:v>
                </c:pt>
                <c:pt idx="32">
                  <c:v>0.55700000000000005</c:v>
                </c:pt>
                <c:pt idx="33">
                  <c:v>0.55600000000000005</c:v>
                </c:pt>
                <c:pt idx="34">
                  <c:v>0.59899999999999998</c:v>
                </c:pt>
                <c:pt idx="35">
                  <c:v>0.57899999999999996</c:v>
                </c:pt>
                <c:pt idx="36">
                  <c:v>0.66</c:v>
                </c:pt>
              </c:numCache>
            </c:numRef>
          </c:yVal>
        </c:ser>
        <c:ser>
          <c:idx val="5"/>
          <c:order val="5"/>
          <c:tx>
            <c:strRef>
              <c:f>'Table1-FAA'!$G$3</c:f>
              <c:strCache>
                <c:ptCount val="1"/>
                <c:pt idx="0">
                  <c:v>AGE 5</c:v>
                </c:pt>
              </c:strCache>
            </c:strRef>
          </c:tx>
          <c:xVal>
            <c:numRef>
              <c:f>'Table1-FAA'!$A$4:$A$40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'Table1-FAA'!$G$4:$G$40</c:f>
              <c:numCache>
                <c:formatCode>General</c:formatCode>
                <c:ptCount val="37"/>
                <c:pt idx="0">
                  <c:v>3.4000000000000002E-2</c:v>
                </c:pt>
                <c:pt idx="1">
                  <c:v>0.03</c:v>
                </c:pt>
                <c:pt idx="2">
                  <c:v>3.7999999999999999E-2</c:v>
                </c:pt>
                <c:pt idx="3">
                  <c:v>4.9000000000000002E-2</c:v>
                </c:pt>
                <c:pt idx="4">
                  <c:v>0.06</c:v>
                </c:pt>
                <c:pt idx="5">
                  <c:v>9.8000000000000004E-2</c:v>
                </c:pt>
                <c:pt idx="6">
                  <c:v>0.108</c:v>
                </c:pt>
                <c:pt idx="7">
                  <c:v>9.5000000000000001E-2</c:v>
                </c:pt>
                <c:pt idx="8">
                  <c:v>6.0999999999999999E-2</c:v>
                </c:pt>
                <c:pt idx="9">
                  <c:v>6.4000000000000001E-2</c:v>
                </c:pt>
                <c:pt idx="10">
                  <c:v>6.5000000000000002E-2</c:v>
                </c:pt>
                <c:pt idx="11">
                  <c:v>0.108</c:v>
                </c:pt>
                <c:pt idx="12">
                  <c:v>0.127</c:v>
                </c:pt>
                <c:pt idx="13">
                  <c:v>0.14899999999999999</c:v>
                </c:pt>
                <c:pt idx="14">
                  <c:v>4.3999999999999997E-2</c:v>
                </c:pt>
                <c:pt idx="15">
                  <c:v>9.9000000000000005E-2</c:v>
                </c:pt>
                <c:pt idx="16">
                  <c:v>0.09</c:v>
                </c:pt>
                <c:pt idx="17">
                  <c:v>8.5999999999999993E-2</c:v>
                </c:pt>
                <c:pt idx="18">
                  <c:v>5.1999999999999998E-2</c:v>
                </c:pt>
                <c:pt idx="19">
                  <c:v>0.112</c:v>
                </c:pt>
                <c:pt idx="20">
                  <c:v>0.17499999999999999</c:v>
                </c:pt>
                <c:pt idx="21">
                  <c:v>0.16300000000000001</c:v>
                </c:pt>
                <c:pt idx="22">
                  <c:v>0.19600000000000001</c:v>
                </c:pt>
                <c:pt idx="23">
                  <c:v>0.16400000000000001</c:v>
                </c:pt>
                <c:pt idx="24">
                  <c:v>0.20499999999999999</c:v>
                </c:pt>
                <c:pt idx="25">
                  <c:v>0.19700000000000001</c:v>
                </c:pt>
                <c:pt idx="26">
                  <c:v>0.185</c:v>
                </c:pt>
                <c:pt idx="27">
                  <c:v>0.17799999999999999</c:v>
                </c:pt>
                <c:pt idx="28">
                  <c:v>0.254</c:v>
                </c:pt>
                <c:pt idx="29">
                  <c:v>0.20699999999999999</c:v>
                </c:pt>
                <c:pt idx="30">
                  <c:v>0.21199999999999999</c:v>
                </c:pt>
                <c:pt idx="31">
                  <c:v>0.26100000000000001</c:v>
                </c:pt>
                <c:pt idx="32">
                  <c:v>0.184</c:v>
                </c:pt>
                <c:pt idx="33">
                  <c:v>0.18</c:v>
                </c:pt>
                <c:pt idx="34">
                  <c:v>0.188</c:v>
                </c:pt>
                <c:pt idx="35">
                  <c:v>0.17399999999999999</c:v>
                </c:pt>
                <c:pt idx="36">
                  <c:v>0.19500000000000001</c:v>
                </c:pt>
              </c:numCache>
            </c:numRef>
          </c:yVal>
        </c:ser>
        <c:axId val="255704064"/>
        <c:axId val="255718528"/>
      </c:scatterChart>
      <c:valAx>
        <c:axId val="25570406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Year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55718528"/>
        <c:crosses val="autoZero"/>
        <c:crossBetween val="midCat"/>
      </c:valAx>
      <c:valAx>
        <c:axId val="25571852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Fishing Mortality Rate 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55704064"/>
        <c:crosses val="autoZero"/>
        <c:crossBetween val="midCat"/>
      </c:valAx>
    </c:plotArea>
    <c:legend>
      <c:legendPos val="r"/>
      <c:layout/>
      <c:txPr>
        <a:bodyPr/>
        <a:lstStyle/>
        <a:p>
          <a:pPr>
            <a:defRPr sz="1400"/>
          </a:pPr>
          <a:endParaRPr lang="en-US"/>
        </a:p>
      </c:txPr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'Titles and Variables'!$I$11:$J$11</c:f>
          <c:strCache>
            <c:ptCount val="1"/>
            <c:pt idx="0">
              <c:v>ATL Abundance</c:v>
            </c:pt>
          </c:strCache>
        </c:strRef>
      </c:tx>
      <c:layout>
        <c:manualLayout>
          <c:xMode val="edge"/>
          <c:yMode val="edge"/>
          <c:x val="0.36187427576159042"/>
          <c:y val="3.1476997578692628E-2"/>
        </c:manualLayout>
      </c:layout>
    </c:title>
    <c:plotArea>
      <c:layout>
        <c:manualLayout>
          <c:layoutTarget val="inner"/>
          <c:xMode val="edge"/>
          <c:yMode val="edge"/>
          <c:x val="0.18739917851939514"/>
          <c:y val="0.19128329297820823"/>
          <c:w val="0.63651100290208162"/>
          <c:h val="0.5447941888619855"/>
        </c:manualLayout>
      </c:layout>
      <c:scatterChart>
        <c:scatterStyle val="lineMarker"/>
        <c:ser>
          <c:idx val="0"/>
          <c:order val="0"/>
          <c:tx>
            <c:strRef>
              <c:f>'Table2-NAA'!$AF$3</c:f>
              <c:strCache>
                <c:ptCount val="1"/>
                <c:pt idx="0">
                  <c:v>sum</c:v>
                </c:pt>
              </c:strCache>
            </c:strRef>
          </c:tx>
          <c:xVal>
            <c:numRef>
              <c:f>'Table2-NAA'!$A$4:$A$40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'Table2-NAA'!$AF$4:$AF$40</c:f>
              <c:numCache>
                <c:formatCode>General</c:formatCode>
                <c:ptCount val="37"/>
                <c:pt idx="0">
                  <c:v>116402172</c:v>
                </c:pt>
                <c:pt idx="1">
                  <c:v>113613187</c:v>
                </c:pt>
                <c:pt idx="2">
                  <c:v>103466242</c:v>
                </c:pt>
                <c:pt idx="3">
                  <c:v>103884019</c:v>
                </c:pt>
                <c:pt idx="4">
                  <c:v>112276977</c:v>
                </c:pt>
                <c:pt idx="5">
                  <c:v>127584273</c:v>
                </c:pt>
                <c:pt idx="6">
                  <c:v>134655416</c:v>
                </c:pt>
                <c:pt idx="7">
                  <c:v>126527152</c:v>
                </c:pt>
                <c:pt idx="8">
                  <c:v>115415411</c:v>
                </c:pt>
                <c:pt idx="9">
                  <c:v>112930449</c:v>
                </c:pt>
                <c:pt idx="10">
                  <c:v>107532109</c:v>
                </c:pt>
                <c:pt idx="11">
                  <c:v>128953760</c:v>
                </c:pt>
                <c:pt idx="12">
                  <c:v>121405431</c:v>
                </c:pt>
                <c:pt idx="13">
                  <c:v>138343496</c:v>
                </c:pt>
                <c:pt idx="14">
                  <c:v>131501473</c:v>
                </c:pt>
                <c:pt idx="15">
                  <c:v>139822004</c:v>
                </c:pt>
                <c:pt idx="16">
                  <c:v>132546543</c:v>
                </c:pt>
                <c:pt idx="17">
                  <c:v>130662754</c:v>
                </c:pt>
                <c:pt idx="18">
                  <c:v>116554379</c:v>
                </c:pt>
                <c:pt idx="19">
                  <c:v>123028793</c:v>
                </c:pt>
                <c:pt idx="20">
                  <c:v>124546478</c:v>
                </c:pt>
                <c:pt idx="21">
                  <c:v>119758302</c:v>
                </c:pt>
                <c:pt idx="22">
                  <c:v>123885888</c:v>
                </c:pt>
                <c:pt idx="23">
                  <c:v>133045020</c:v>
                </c:pt>
                <c:pt idx="24">
                  <c:v>115770136</c:v>
                </c:pt>
                <c:pt idx="25">
                  <c:v>107743308</c:v>
                </c:pt>
                <c:pt idx="26">
                  <c:v>106708363</c:v>
                </c:pt>
                <c:pt idx="27">
                  <c:v>115553640</c:v>
                </c:pt>
                <c:pt idx="28">
                  <c:v>142267401</c:v>
                </c:pt>
                <c:pt idx="29">
                  <c:v>128510522</c:v>
                </c:pt>
                <c:pt idx="30">
                  <c:v>120939335</c:v>
                </c:pt>
                <c:pt idx="31">
                  <c:v>119301972</c:v>
                </c:pt>
                <c:pt idx="32">
                  <c:v>105356641</c:v>
                </c:pt>
                <c:pt idx="33">
                  <c:v>97842639</c:v>
                </c:pt>
                <c:pt idx="34">
                  <c:v>107034046</c:v>
                </c:pt>
                <c:pt idx="35">
                  <c:v>115698809</c:v>
                </c:pt>
                <c:pt idx="36">
                  <c:v>121106853</c:v>
                </c:pt>
              </c:numCache>
            </c:numRef>
          </c:yVal>
        </c:ser>
        <c:axId val="204441088"/>
        <c:axId val="204443008"/>
      </c:scatterChart>
      <c:valAx>
        <c:axId val="204441088"/>
        <c:scaling>
          <c:orientation val="minMax"/>
          <c:max val="2011"/>
          <c:min val="196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668824361388369"/>
              <c:y val="0.88619854721549662"/>
            </c:manualLayout>
          </c:layout>
        </c:title>
        <c:numFmt formatCode="General" sourceLinked="1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04443008"/>
        <c:crosses val="autoZero"/>
        <c:crossBetween val="midCat"/>
        <c:majorUnit val="5"/>
        <c:minorUnit val="3.8539999999999988"/>
      </c:valAx>
      <c:valAx>
        <c:axId val="20444300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Abundance (Numbers)</a:t>
                </a:r>
              </a:p>
            </c:rich>
          </c:tx>
          <c:layout>
            <c:manualLayout>
              <c:xMode val="edge"/>
              <c:yMode val="edge"/>
              <c:x val="2.5848162554399316E-2"/>
              <c:y val="0.20581113801452791"/>
            </c:manualLayout>
          </c:layout>
        </c:title>
        <c:numFmt formatCode="0.0" sourceLinked="0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04441088"/>
        <c:crosses val="autoZero"/>
        <c:crossBetween val="midCat"/>
        <c:dispUnits>
          <c:builtInUnit val="millions"/>
          <c:dispUnitsLbl>
            <c:layout>
              <c:manualLayout>
                <c:xMode val="edge"/>
                <c:yMode val="edge"/>
                <c:x val="7.75444876631977E-2"/>
                <c:y val="0.19128329297820823"/>
              </c:manualLayout>
            </c:layout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</c:dispUnitsLbl>
        </c:dispUnits>
      </c:valAx>
    </c:plotArea>
    <c:plotVisOnly val="1"/>
    <c:dispBlanksAs val="gap"/>
  </c:chart>
  <c:printSettings>
    <c:headerFooter alignWithMargins="0"/>
    <c:pageMargins b="1" l="0.75000000000000155" r="0.7500000000000015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Number at Age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'Table2-NAA'!$B$3</c:f>
              <c:strCache>
                <c:ptCount val="1"/>
                <c:pt idx="0">
                  <c:v>AGE 0</c:v>
                </c:pt>
              </c:strCache>
            </c:strRef>
          </c:tx>
          <c:xVal>
            <c:numRef>
              <c:f>'Table2-NAA'!$A$4:$A$40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'Table2-NAA'!$B$4:$B$40</c:f>
              <c:numCache>
                <c:formatCode>General</c:formatCode>
                <c:ptCount val="37"/>
                <c:pt idx="0">
                  <c:v>63352372</c:v>
                </c:pt>
                <c:pt idx="1">
                  <c:v>61890946</c:v>
                </c:pt>
                <c:pt idx="2">
                  <c:v>53128261</c:v>
                </c:pt>
                <c:pt idx="3">
                  <c:v>58625271</c:v>
                </c:pt>
                <c:pt idx="4">
                  <c:v>66463128</c:v>
                </c:pt>
                <c:pt idx="5">
                  <c:v>79317169</c:v>
                </c:pt>
                <c:pt idx="6">
                  <c:v>80849812</c:v>
                </c:pt>
                <c:pt idx="7">
                  <c:v>69990642</c:v>
                </c:pt>
                <c:pt idx="8">
                  <c:v>62370073</c:v>
                </c:pt>
                <c:pt idx="9">
                  <c:v>64836350</c:v>
                </c:pt>
                <c:pt idx="10">
                  <c:v>60450918</c:v>
                </c:pt>
                <c:pt idx="11">
                  <c:v>85424802</c:v>
                </c:pt>
                <c:pt idx="12">
                  <c:v>71019816</c:v>
                </c:pt>
                <c:pt idx="13">
                  <c:v>90700309</c:v>
                </c:pt>
                <c:pt idx="14">
                  <c:v>76131793</c:v>
                </c:pt>
                <c:pt idx="15">
                  <c:v>87534083</c:v>
                </c:pt>
                <c:pt idx="16">
                  <c:v>75994547</c:v>
                </c:pt>
                <c:pt idx="17">
                  <c:v>76716378</c:v>
                </c:pt>
                <c:pt idx="18">
                  <c:v>64846503</c:v>
                </c:pt>
                <c:pt idx="19">
                  <c:v>77203682</c:v>
                </c:pt>
                <c:pt idx="20">
                  <c:v>76037148</c:v>
                </c:pt>
                <c:pt idx="21">
                  <c:v>72784090</c:v>
                </c:pt>
                <c:pt idx="22">
                  <c:v>78287429</c:v>
                </c:pt>
                <c:pt idx="23">
                  <c:v>85357863</c:v>
                </c:pt>
                <c:pt idx="24">
                  <c:v>66046971</c:v>
                </c:pt>
                <c:pt idx="25">
                  <c:v>64342847</c:v>
                </c:pt>
                <c:pt idx="26">
                  <c:v>65509933</c:v>
                </c:pt>
                <c:pt idx="27">
                  <c:v>75340574</c:v>
                </c:pt>
                <c:pt idx="28">
                  <c:v>98003055</c:v>
                </c:pt>
                <c:pt idx="29">
                  <c:v>73336903</c:v>
                </c:pt>
                <c:pt idx="30">
                  <c:v>75325217</c:v>
                </c:pt>
                <c:pt idx="31">
                  <c:v>74596913</c:v>
                </c:pt>
                <c:pt idx="32">
                  <c:v>63752837</c:v>
                </c:pt>
                <c:pt idx="33">
                  <c:v>60786265</c:v>
                </c:pt>
                <c:pt idx="34">
                  <c:v>72462957</c:v>
                </c:pt>
                <c:pt idx="35">
                  <c:v>76513359</c:v>
                </c:pt>
                <c:pt idx="36">
                  <c:v>77510633</c:v>
                </c:pt>
              </c:numCache>
            </c:numRef>
          </c:yVal>
        </c:ser>
        <c:ser>
          <c:idx val="1"/>
          <c:order val="1"/>
          <c:tx>
            <c:strRef>
              <c:f>'Table2-NAA'!$C$3</c:f>
              <c:strCache>
                <c:ptCount val="1"/>
                <c:pt idx="0">
                  <c:v>AGE 1</c:v>
                </c:pt>
              </c:strCache>
            </c:strRef>
          </c:tx>
          <c:xVal>
            <c:numRef>
              <c:f>'Table2-NAA'!$A$4:$A$40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'Table2-NAA'!$C$4:$C$40</c:f>
              <c:numCache>
                <c:formatCode>General</c:formatCode>
                <c:ptCount val="37"/>
                <c:pt idx="0">
                  <c:v>29754651</c:v>
                </c:pt>
                <c:pt idx="1">
                  <c:v>28230330</c:v>
                </c:pt>
                <c:pt idx="2">
                  <c:v>27584548</c:v>
                </c:pt>
                <c:pt idx="3">
                  <c:v>23630413</c:v>
                </c:pt>
                <c:pt idx="4">
                  <c:v>26183374</c:v>
                </c:pt>
                <c:pt idx="5">
                  <c:v>29285529</c:v>
                </c:pt>
                <c:pt idx="6">
                  <c:v>34434029</c:v>
                </c:pt>
                <c:pt idx="7">
                  <c:v>34906413</c:v>
                </c:pt>
                <c:pt idx="8">
                  <c:v>30479561</c:v>
                </c:pt>
                <c:pt idx="9">
                  <c:v>26987507</c:v>
                </c:pt>
                <c:pt idx="10">
                  <c:v>27812783</c:v>
                </c:pt>
                <c:pt idx="11">
                  <c:v>25084450</c:v>
                </c:pt>
                <c:pt idx="12">
                  <c:v>34007337</c:v>
                </c:pt>
                <c:pt idx="13">
                  <c:v>30182825</c:v>
                </c:pt>
                <c:pt idx="14">
                  <c:v>37945258</c:v>
                </c:pt>
                <c:pt idx="15">
                  <c:v>32321535</c:v>
                </c:pt>
                <c:pt idx="16">
                  <c:v>36558339</c:v>
                </c:pt>
                <c:pt idx="17">
                  <c:v>31738731</c:v>
                </c:pt>
                <c:pt idx="18">
                  <c:v>30404986</c:v>
                </c:pt>
                <c:pt idx="19">
                  <c:v>25869754</c:v>
                </c:pt>
                <c:pt idx="20">
                  <c:v>30903586</c:v>
                </c:pt>
                <c:pt idx="21">
                  <c:v>29741195</c:v>
                </c:pt>
                <c:pt idx="22">
                  <c:v>28618851</c:v>
                </c:pt>
                <c:pt idx="23">
                  <c:v>31180950</c:v>
                </c:pt>
                <c:pt idx="24">
                  <c:v>32762578</c:v>
                </c:pt>
                <c:pt idx="25">
                  <c:v>26448642</c:v>
                </c:pt>
                <c:pt idx="26">
                  <c:v>25537116</c:v>
                </c:pt>
                <c:pt idx="27">
                  <c:v>25929690</c:v>
                </c:pt>
                <c:pt idx="28">
                  <c:v>30539894</c:v>
                </c:pt>
                <c:pt idx="29">
                  <c:v>40619133</c:v>
                </c:pt>
                <c:pt idx="30">
                  <c:v>29000900</c:v>
                </c:pt>
                <c:pt idx="31">
                  <c:v>28449033</c:v>
                </c:pt>
                <c:pt idx="32">
                  <c:v>28694907</c:v>
                </c:pt>
                <c:pt idx="33">
                  <c:v>24016188</c:v>
                </c:pt>
                <c:pt idx="34">
                  <c:v>22874481</c:v>
                </c:pt>
                <c:pt idx="35">
                  <c:v>27958868</c:v>
                </c:pt>
                <c:pt idx="36">
                  <c:v>30626702</c:v>
                </c:pt>
              </c:numCache>
            </c:numRef>
          </c:yVal>
        </c:ser>
        <c:ser>
          <c:idx val="2"/>
          <c:order val="2"/>
          <c:tx>
            <c:strRef>
              <c:f>'Table2-NAA'!$D$3</c:f>
              <c:strCache>
                <c:ptCount val="1"/>
                <c:pt idx="0">
                  <c:v>AGE 2</c:v>
                </c:pt>
              </c:strCache>
            </c:strRef>
          </c:tx>
          <c:xVal>
            <c:numRef>
              <c:f>'Table2-NAA'!$A$4:$A$40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'Table2-NAA'!$D$4:$D$40</c:f>
              <c:numCache>
                <c:formatCode>General</c:formatCode>
                <c:ptCount val="37"/>
                <c:pt idx="0">
                  <c:v>10215817</c:v>
                </c:pt>
                <c:pt idx="1">
                  <c:v>11925186</c:v>
                </c:pt>
                <c:pt idx="2">
                  <c:v>11403190</c:v>
                </c:pt>
                <c:pt idx="3">
                  <c:v>11064555</c:v>
                </c:pt>
                <c:pt idx="4">
                  <c:v>9595172</c:v>
                </c:pt>
                <c:pt idx="5">
                  <c:v>10151006</c:v>
                </c:pt>
                <c:pt idx="6">
                  <c:v>11347537</c:v>
                </c:pt>
                <c:pt idx="7">
                  <c:v>13124843</c:v>
                </c:pt>
                <c:pt idx="8">
                  <c:v>13067693</c:v>
                </c:pt>
                <c:pt idx="9">
                  <c:v>11332598</c:v>
                </c:pt>
                <c:pt idx="10">
                  <c:v>9697654</c:v>
                </c:pt>
                <c:pt idx="11">
                  <c:v>9914677</c:v>
                </c:pt>
                <c:pt idx="12">
                  <c:v>8664833</c:v>
                </c:pt>
                <c:pt idx="13">
                  <c:v>10937226</c:v>
                </c:pt>
                <c:pt idx="14">
                  <c:v>10556287</c:v>
                </c:pt>
                <c:pt idx="15">
                  <c:v>12604037</c:v>
                </c:pt>
                <c:pt idx="16">
                  <c:v>11840053</c:v>
                </c:pt>
                <c:pt idx="17">
                  <c:v>13613873</c:v>
                </c:pt>
                <c:pt idx="18">
                  <c:v>11481600</c:v>
                </c:pt>
                <c:pt idx="19">
                  <c:v>10443281</c:v>
                </c:pt>
                <c:pt idx="20">
                  <c:v>8967535</c:v>
                </c:pt>
                <c:pt idx="21">
                  <c:v>10107236</c:v>
                </c:pt>
                <c:pt idx="22">
                  <c:v>9843874</c:v>
                </c:pt>
                <c:pt idx="23">
                  <c:v>9637669</c:v>
                </c:pt>
                <c:pt idx="24">
                  <c:v>10561550</c:v>
                </c:pt>
                <c:pt idx="25">
                  <c:v>10604413</c:v>
                </c:pt>
                <c:pt idx="26">
                  <c:v>8755474</c:v>
                </c:pt>
                <c:pt idx="27">
                  <c:v>7997868</c:v>
                </c:pt>
                <c:pt idx="28">
                  <c:v>7802800</c:v>
                </c:pt>
                <c:pt idx="29">
                  <c:v>9122333</c:v>
                </c:pt>
                <c:pt idx="30">
                  <c:v>10876238</c:v>
                </c:pt>
                <c:pt idx="31">
                  <c:v>9277636</c:v>
                </c:pt>
                <c:pt idx="32">
                  <c:v>6493603</c:v>
                </c:pt>
                <c:pt idx="33">
                  <c:v>7767734</c:v>
                </c:pt>
                <c:pt idx="34">
                  <c:v>6253523</c:v>
                </c:pt>
                <c:pt idx="35">
                  <c:v>6598809</c:v>
                </c:pt>
                <c:pt idx="36">
                  <c:v>8246090</c:v>
                </c:pt>
              </c:numCache>
            </c:numRef>
          </c:yVal>
        </c:ser>
        <c:ser>
          <c:idx val="3"/>
          <c:order val="3"/>
          <c:tx>
            <c:strRef>
              <c:f>'Table2-NAA'!$E$3</c:f>
              <c:strCache>
                <c:ptCount val="1"/>
                <c:pt idx="0">
                  <c:v>AGE 3</c:v>
                </c:pt>
              </c:strCache>
            </c:strRef>
          </c:tx>
          <c:xVal>
            <c:numRef>
              <c:f>'Table2-NAA'!$A$4:$A$40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'Table2-NAA'!$E$4:$E$40</c:f>
              <c:numCache>
                <c:formatCode>General</c:formatCode>
                <c:ptCount val="37"/>
                <c:pt idx="0">
                  <c:v>6575939</c:v>
                </c:pt>
                <c:pt idx="1">
                  <c:v>5165138</c:v>
                </c:pt>
                <c:pt idx="2">
                  <c:v>5612298</c:v>
                </c:pt>
                <c:pt idx="3">
                  <c:v>5178780</c:v>
                </c:pt>
                <c:pt idx="4">
                  <c:v>5166483</c:v>
                </c:pt>
                <c:pt idx="5">
                  <c:v>4344316</c:v>
                </c:pt>
                <c:pt idx="6">
                  <c:v>4331528</c:v>
                </c:pt>
                <c:pt idx="7">
                  <c:v>5223100</c:v>
                </c:pt>
                <c:pt idx="8">
                  <c:v>5965426</c:v>
                </c:pt>
                <c:pt idx="9">
                  <c:v>5754370</c:v>
                </c:pt>
                <c:pt idx="10">
                  <c:v>5477721</c:v>
                </c:pt>
                <c:pt idx="11">
                  <c:v>4420187</c:v>
                </c:pt>
                <c:pt idx="12">
                  <c:v>4372783</c:v>
                </c:pt>
                <c:pt idx="13">
                  <c:v>3760366</c:v>
                </c:pt>
                <c:pt idx="14">
                  <c:v>4789281</c:v>
                </c:pt>
                <c:pt idx="15">
                  <c:v>4387424</c:v>
                </c:pt>
                <c:pt idx="16">
                  <c:v>5372577</c:v>
                </c:pt>
                <c:pt idx="17">
                  <c:v>5552138</c:v>
                </c:pt>
                <c:pt idx="18">
                  <c:v>6375221</c:v>
                </c:pt>
                <c:pt idx="19">
                  <c:v>5476431</c:v>
                </c:pt>
                <c:pt idx="20">
                  <c:v>5044810</c:v>
                </c:pt>
                <c:pt idx="21">
                  <c:v>4213854</c:v>
                </c:pt>
                <c:pt idx="22">
                  <c:v>4691539</c:v>
                </c:pt>
                <c:pt idx="23">
                  <c:v>4508054</c:v>
                </c:pt>
                <c:pt idx="24">
                  <c:v>4186588</c:v>
                </c:pt>
                <c:pt idx="25">
                  <c:v>4217068</c:v>
                </c:pt>
                <c:pt idx="26">
                  <c:v>4704882</c:v>
                </c:pt>
                <c:pt idx="27">
                  <c:v>3861896</c:v>
                </c:pt>
                <c:pt idx="28">
                  <c:v>3601453</c:v>
                </c:pt>
                <c:pt idx="29">
                  <c:v>3373072</c:v>
                </c:pt>
                <c:pt idx="30">
                  <c:v>3767123</c:v>
                </c:pt>
                <c:pt idx="31">
                  <c:v>5046264</c:v>
                </c:pt>
                <c:pt idx="32">
                  <c:v>3955502</c:v>
                </c:pt>
                <c:pt idx="33">
                  <c:v>2876174</c:v>
                </c:pt>
                <c:pt idx="34">
                  <c:v>3533996</c:v>
                </c:pt>
                <c:pt idx="35">
                  <c:v>2604309</c:v>
                </c:pt>
                <c:pt idx="36">
                  <c:v>2974363</c:v>
                </c:pt>
              </c:numCache>
            </c:numRef>
          </c:yVal>
        </c:ser>
        <c:ser>
          <c:idx val="4"/>
          <c:order val="4"/>
          <c:tx>
            <c:strRef>
              <c:f>'Table2-NAA'!$F$3</c:f>
              <c:strCache>
                <c:ptCount val="1"/>
                <c:pt idx="0">
                  <c:v>AGE 4</c:v>
                </c:pt>
              </c:strCache>
            </c:strRef>
          </c:tx>
          <c:xVal>
            <c:numRef>
              <c:f>'Table2-NAA'!$A$4:$A$40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'Table2-NAA'!$F$4:$F$40</c:f>
              <c:numCache>
                <c:formatCode>General</c:formatCode>
                <c:ptCount val="37"/>
                <c:pt idx="0">
                  <c:v>3134956</c:v>
                </c:pt>
                <c:pt idx="1">
                  <c:v>3137584</c:v>
                </c:pt>
                <c:pt idx="2">
                  <c:v>2490604</c:v>
                </c:pt>
                <c:pt idx="3">
                  <c:v>2512165</c:v>
                </c:pt>
                <c:pt idx="4">
                  <c:v>2256343</c:v>
                </c:pt>
                <c:pt idx="5">
                  <c:v>2188424</c:v>
                </c:pt>
                <c:pt idx="6">
                  <c:v>1778419</c:v>
                </c:pt>
                <c:pt idx="7">
                  <c:v>1753243</c:v>
                </c:pt>
                <c:pt idx="8">
                  <c:v>2167787</c:v>
                </c:pt>
                <c:pt idx="9">
                  <c:v>2442806</c:v>
                </c:pt>
                <c:pt idx="10">
                  <c:v>2326431</c:v>
                </c:pt>
                <c:pt idx="11">
                  <c:v>2305835</c:v>
                </c:pt>
                <c:pt idx="12">
                  <c:v>1760623</c:v>
                </c:pt>
                <c:pt idx="13">
                  <c:v>1532928</c:v>
                </c:pt>
                <c:pt idx="14">
                  <c:v>1148650</c:v>
                </c:pt>
                <c:pt idx="15">
                  <c:v>2008042</c:v>
                </c:pt>
                <c:pt idx="16">
                  <c:v>1720506</c:v>
                </c:pt>
                <c:pt idx="17">
                  <c:v>1981275</c:v>
                </c:pt>
                <c:pt idx="18">
                  <c:v>2287823</c:v>
                </c:pt>
                <c:pt idx="19">
                  <c:v>2520662</c:v>
                </c:pt>
                <c:pt idx="20">
                  <c:v>2135131</c:v>
                </c:pt>
                <c:pt idx="21">
                  <c:v>1800804</c:v>
                </c:pt>
                <c:pt idx="22">
                  <c:v>1520016</c:v>
                </c:pt>
                <c:pt idx="23">
                  <c:v>1650493</c:v>
                </c:pt>
                <c:pt idx="24">
                  <c:v>1497811</c:v>
                </c:pt>
                <c:pt idx="25">
                  <c:v>1518291</c:v>
                </c:pt>
                <c:pt idx="26">
                  <c:v>1597465</c:v>
                </c:pt>
                <c:pt idx="27">
                  <c:v>1762390</c:v>
                </c:pt>
                <c:pt idx="28">
                  <c:v>1541081</c:v>
                </c:pt>
                <c:pt idx="29">
                  <c:v>1382308</c:v>
                </c:pt>
                <c:pt idx="30">
                  <c:v>1279359</c:v>
                </c:pt>
                <c:pt idx="31">
                  <c:v>1259765</c:v>
                </c:pt>
                <c:pt idx="32">
                  <c:v>1859638</c:v>
                </c:pt>
                <c:pt idx="33">
                  <c:v>1537592</c:v>
                </c:pt>
                <c:pt idx="34">
                  <c:v>1031846</c:v>
                </c:pt>
                <c:pt idx="35">
                  <c:v>1313439</c:v>
                </c:pt>
                <c:pt idx="36">
                  <c:v>1017607</c:v>
                </c:pt>
              </c:numCache>
            </c:numRef>
          </c:yVal>
        </c:ser>
        <c:ser>
          <c:idx val="5"/>
          <c:order val="5"/>
          <c:tx>
            <c:strRef>
              <c:f>'Table2-NAA'!$G$3</c:f>
              <c:strCache>
                <c:ptCount val="1"/>
                <c:pt idx="0">
                  <c:v>AGE 5</c:v>
                </c:pt>
              </c:strCache>
            </c:strRef>
          </c:tx>
          <c:xVal>
            <c:numRef>
              <c:f>'Table2-NAA'!$A$4:$A$40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'Table2-NAA'!$G$4:$G$40</c:f>
              <c:numCache>
                <c:formatCode>General</c:formatCode>
                <c:ptCount val="37"/>
                <c:pt idx="0">
                  <c:v>3368437</c:v>
                </c:pt>
                <c:pt idx="1">
                  <c:v>3264003</c:v>
                </c:pt>
                <c:pt idx="2">
                  <c:v>3247341</c:v>
                </c:pt>
                <c:pt idx="3">
                  <c:v>2872835</c:v>
                </c:pt>
                <c:pt idx="4">
                  <c:v>2612477</c:v>
                </c:pt>
                <c:pt idx="5">
                  <c:v>2297829</c:v>
                </c:pt>
                <c:pt idx="6">
                  <c:v>1914091</c:v>
                </c:pt>
                <c:pt idx="7">
                  <c:v>1528911</c:v>
                </c:pt>
                <c:pt idx="8">
                  <c:v>1364871</c:v>
                </c:pt>
                <c:pt idx="9">
                  <c:v>1576818</c:v>
                </c:pt>
                <c:pt idx="10">
                  <c:v>1766602</c:v>
                </c:pt>
                <c:pt idx="11">
                  <c:v>1803809</c:v>
                </c:pt>
                <c:pt idx="12">
                  <c:v>1580039</c:v>
                </c:pt>
                <c:pt idx="13">
                  <c:v>1229842</c:v>
                </c:pt>
                <c:pt idx="14">
                  <c:v>930204</c:v>
                </c:pt>
                <c:pt idx="15">
                  <c:v>966883</c:v>
                </c:pt>
                <c:pt idx="16">
                  <c:v>1060521</c:v>
                </c:pt>
                <c:pt idx="17">
                  <c:v>1060359</c:v>
                </c:pt>
                <c:pt idx="18">
                  <c:v>1158246</c:v>
                </c:pt>
                <c:pt idx="19">
                  <c:v>1514983</c:v>
                </c:pt>
                <c:pt idx="20">
                  <c:v>1458268</c:v>
                </c:pt>
                <c:pt idx="21">
                  <c:v>1111123</c:v>
                </c:pt>
                <c:pt idx="22">
                  <c:v>924179</c:v>
                </c:pt>
                <c:pt idx="23">
                  <c:v>709991</c:v>
                </c:pt>
                <c:pt idx="24">
                  <c:v>714638</c:v>
                </c:pt>
                <c:pt idx="25">
                  <c:v>612047</c:v>
                </c:pt>
                <c:pt idx="26">
                  <c:v>603493</c:v>
                </c:pt>
                <c:pt idx="27">
                  <c:v>661222</c:v>
                </c:pt>
                <c:pt idx="28">
                  <c:v>779118</c:v>
                </c:pt>
                <c:pt idx="29">
                  <c:v>676773</c:v>
                </c:pt>
                <c:pt idx="30">
                  <c:v>690498</c:v>
                </c:pt>
                <c:pt idx="31">
                  <c:v>672361</c:v>
                </c:pt>
                <c:pt idx="32">
                  <c:v>600154</c:v>
                </c:pt>
                <c:pt idx="33">
                  <c:v>858686</c:v>
                </c:pt>
                <c:pt idx="34">
                  <c:v>877243</c:v>
                </c:pt>
                <c:pt idx="35">
                  <c:v>710025</c:v>
                </c:pt>
                <c:pt idx="36">
                  <c:v>731458</c:v>
                </c:pt>
              </c:numCache>
            </c:numRef>
          </c:yVal>
        </c:ser>
        <c:axId val="255016320"/>
        <c:axId val="255763968"/>
      </c:scatterChart>
      <c:valAx>
        <c:axId val="255016320"/>
        <c:scaling>
          <c:orientation val="minMax"/>
          <c:max val="2011"/>
          <c:min val="1965"/>
        </c:scaling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Year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55763968"/>
        <c:crosses val="autoZero"/>
        <c:crossBetween val="midCat"/>
      </c:valAx>
      <c:valAx>
        <c:axId val="2557639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Numbers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55016320"/>
        <c:crosses val="autoZero"/>
        <c:crossBetween val="midCat"/>
      </c:valAx>
    </c:plotArea>
    <c:legend>
      <c:legendPos val="r"/>
      <c:layout/>
      <c:txPr>
        <a:bodyPr/>
        <a:lstStyle/>
        <a:p>
          <a:pPr>
            <a:defRPr sz="1400"/>
          </a:pPr>
          <a:endParaRPr lang="en-US"/>
        </a:p>
      </c:txPr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title>
      <c:tx>
        <c:strRef>
          <c:f>'Titles and Variables'!$J$10</c:f>
          <c:strCache>
            <c:ptCount val="1"/>
            <c:pt idx="0">
              <c:v>Number-at-Age</c:v>
            </c:pt>
          </c:strCache>
        </c:strRef>
      </c:tx>
      <c:layout/>
    </c:title>
    <c:plotArea>
      <c:layout/>
      <c:bubbleChart>
        <c:ser>
          <c:idx val="0"/>
          <c:order val="0"/>
          <c:tx>
            <c:v>AGE 0</c:v>
          </c:tx>
          <c:xVal>
            <c:numRef>
              <c:f>'Table2-NAA'!$A$4:$A$41</c:f>
              <c:numCache>
                <c:formatCode>General</c:formatCode>
                <c:ptCount val="38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Lit>
              <c:formatCode>General</c:formatCode>
              <c:ptCount val="3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</c:numLit>
          </c:yVal>
          <c:bubbleSize>
            <c:numLit>
              <c:formatCode>General</c:formatCode>
              <c:ptCount val="38"/>
              <c:pt idx="0">
                <c:v>63352372</c:v>
              </c:pt>
              <c:pt idx="1">
                <c:v>61890946</c:v>
              </c:pt>
              <c:pt idx="2">
                <c:v>53128261</c:v>
              </c:pt>
              <c:pt idx="3">
                <c:v>58625271</c:v>
              </c:pt>
              <c:pt idx="4">
                <c:v>66463128</c:v>
              </c:pt>
              <c:pt idx="5">
                <c:v>79317169</c:v>
              </c:pt>
              <c:pt idx="6">
                <c:v>80849812</c:v>
              </c:pt>
              <c:pt idx="7">
                <c:v>69990642</c:v>
              </c:pt>
              <c:pt idx="8">
                <c:v>62370073</c:v>
              </c:pt>
              <c:pt idx="9">
                <c:v>64836350</c:v>
              </c:pt>
              <c:pt idx="10">
                <c:v>60450918</c:v>
              </c:pt>
              <c:pt idx="11">
                <c:v>85424802</c:v>
              </c:pt>
              <c:pt idx="12">
                <c:v>71019816</c:v>
              </c:pt>
              <c:pt idx="13">
                <c:v>90700309</c:v>
              </c:pt>
              <c:pt idx="14">
                <c:v>76131793</c:v>
              </c:pt>
              <c:pt idx="15">
                <c:v>87534083</c:v>
              </c:pt>
              <c:pt idx="16">
                <c:v>75994547</c:v>
              </c:pt>
              <c:pt idx="17">
                <c:v>76716378</c:v>
              </c:pt>
              <c:pt idx="18">
                <c:v>64846503</c:v>
              </c:pt>
              <c:pt idx="19">
                <c:v>77203682</c:v>
              </c:pt>
              <c:pt idx="20">
                <c:v>76037148</c:v>
              </c:pt>
              <c:pt idx="21">
                <c:v>72784090</c:v>
              </c:pt>
              <c:pt idx="22">
                <c:v>78287429</c:v>
              </c:pt>
              <c:pt idx="23">
                <c:v>85357863</c:v>
              </c:pt>
              <c:pt idx="24">
                <c:v>66046971</c:v>
              </c:pt>
              <c:pt idx="25">
                <c:v>64342847</c:v>
              </c:pt>
              <c:pt idx="26">
                <c:v>65509933</c:v>
              </c:pt>
              <c:pt idx="27">
                <c:v>75340574</c:v>
              </c:pt>
              <c:pt idx="28">
                <c:v>98003055</c:v>
              </c:pt>
              <c:pt idx="29">
                <c:v>73336903</c:v>
              </c:pt>
              <c:pt idx="30">
                <c:v>75325217</c:v>
              </c:pt>
              <c:pt idx="31">
                <c:v>74596913</c:v>
              </c:pt>
              <c:pt idx="32">
                <c:v>63752837</c:v>
              </c:pt>
              <c:pt idx="33">
                <c:v>60786265</c:v>
              </c:pt>
              <c:pt idx="34">
                <c:v>72462957</c:v>
              </c:pt>
              <c:pt idx="35">
                <c:v>76513359</c:v>
              </c:pt>
              <c:pt idx="36">
                <c:v>77510633</c:v>
              </c:pt>
              <c:pt idx="37">
                <c:v>31824420</c:v>
              </c:pt>
            </c:numLit>
          </c:bubbleSize>
        </c:ser>
        <c:ser>
          <c:idx val="1"/>
          <c:order val="1"/>
          <c:tx>
            <c:v>AGE 1</c:v>
          </c:tx>
          <c:xVal>
            <c:numRef>
              <c:f>'Table2-NAA'!$A$4:$A$41</c:f>
              <c:numCache>
                <c:formatCode>General</c:formatCode>
                <c:ptCount val="38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Lit>
              <c:formatCode>General</c:formatCode>
              <c:ptCount val="38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</c:numLit>
          </c:yVal>
          <c:bubbleSize>
            <c:numLit>
              <c:formatCode>General</c:formatCode>
              <c:ptCount val="38"/>
              <c:pt idx="0">
                <c:v>29754651</c:v>
              </c:pt>
              <c:pt idx="1">
                <c:v>28230330</c:v>
              </c:pt>
              <c:pt idx="2">
                <c:v>27584548</c:v>
              </c:pt>
              <c:pt idx="3">
                <c:v>23630413</c:v>
              </c:pt>
              <c:pt idx="4">
                <c:v>26183374</c:v>
              </c:pt>
              <c:pt idx="5">
                <c:v>29285529</c:v>
              </c:pt>
              <c:pt idx="6">
                <c:v>34434029</c:v>
              </c:pt>
              <c:pt idx="7">
                <c:v>34906413</c:v>
              </c:pt>
              <c:pt idx="8">
                <c:v>30479561</c:v>
              </c:pt>
              <c:pt idx="9">
                <c:v>26987507</c:v>
              </c:pt>
              <c:pt idx="10">
                <c:v>27812783</c:v>
              </c:pt>
              <c:pt idx="11">
                <c:v>25084450</c:v>
              </c:pt>
              <c:pt idx="12">
                <c:v>34007337</c:v>
              </c:pt>
              <c:pt idx="13">
                <c:v>30182825</c:v>
              </c:pt>
              <c:pt idx="14">
                <c:v>37945258</c:v>
              </c:pt>
              <c:pt idx="15">
                <c:v>32321535</c:v>
              </c:pt>
              <c:pt idx="16">
                <c:v>36558339</c:v>
              </c:pt>
              <c:pt idx="17">
                <c:v>31738731</c:v>
              </c:pt>
              <c:pt idx="18">
                <c:v>30404986</c:v>
              </c:pt>
              <c:pt idx="19">
                <c:v>25869754</c:v>
              </c:pt>
              <c:pt idx="20">
                <c:v>30903586</c:v>
              </c:pt>
              <c:pt idx="21">
                <c:v>29741195</c:v>
              </c:pt>
              <c:pt idx="22">
                <c:v>28618851</c:v>
              </c:pt>
              <c:pt idx="23">
                <c:v>31180950</c:v>
              </c:pt>
              <c:pt idx="24">
                <c:v>32762578</c:v>
              </c:pt>
              <c:pt idx="25">
                <c:v>26448642</c:v>
              </c:pt>
              <c:pt idx="26">
                <c:v>25537116</c:v>
              </c:pt>
              <c:pt idx="27">
                <c:v>25929690</c:v>
              </c:pt>
              <c:pt idx="28">
                <c:v>30539894</c:v>
              </c:pt>
              <c:pt idx="29">
                <c:v>40619133</c:v>
              </c:pt>
              <c:pt idx="30">
                <c:v>29000900</c:v>
              </c:pt>
              <c:pt idx="31">
                <c:v>28449033</c:v>
              </c:pt>
              <c:pt idx="32">
                <c:v>28694907</c:v>
              </c:pt>
              <c:pt idx="33">
                <c:v>24016188</c:v>
              </c:pt>
              <c:pt idx="34">
                <c:v>22874481</c:v>
              </c:pt>
              <c:pt idx="35">
                <c:v>27958868</c:v>
              </c:pt>
              <c:pt idx="36">
                <c:v>30626702</c:v>
              </c:pt>
              <c:pt idx="37">
                <c:v>11232144</c:v>
              </c:pt>
            </c:numLit>
          </c:bubbleSize>
        </c:ser>
        <c:ser>
          <c:idx val="2"/>
          <c:order val="2"/>
          <c:tx>
            <c:v>AGE 2</c:v>
          </c:tx>
          <c:xVal>
            <c:numRef>
              <c:f>'Table2-NAA'!$A$4:$A$41</c:f>
              <c:numCache>
                <c:formatCode>General</c:formatCode>
                <c:ptCount val="38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Lit>
              <c:formatCode>General</c:formatCode>
              <c:ptCount val="38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  <c:pt idx="10">
                <c:v>2</c:v>
              </c:pt>
              <c:pt idx="11">
                <c:v>2</c:v>
              </c:pt>
              <c:pt idx="12">
                <c:v>2</c:v>
              </c:pt>
              <c:pt idx="13">
                <c:v>2</c:v>
              </c:pt>
              <c:pt idx="14">
                <c:v>2</c:v>
              </c:pt>
              <c:pt idx="15">
                <c:v>2</c:v>
              </c:pt>
              <c:pt idx="16">
                <c:v>2</c:v>
              </c:pt>
              <c:pt idx="17">
                <c:v>2</c:v>
              </c:pt>
              <c:pt idx="18">
                <c:v>2</c:v>
              </c:pt>
              <c:pt idx="19">
                <c:v>2</c:v>
              </c:pt>
              <c:pt idx="20">
                <c:v>2</c:v>
              </c:pt>
              <c:pt idx="21">
                <c:v>2</c:v>
              </c:pt>
              <c:pt idx="22">
                <c:v>2</c:v>
              </c:pt>
              <c:pt idx="23">
                <c:v>2</c:v>
              </c:pt>
              <c:pt idx="24">
                <c:v>2</c:v>
              </c:pt>
              <c:pt idx="25">
                <c:v>2</c:v>
              </c:pt>
              <c:pt idx="26">
                <c:v>2</c:v>
              </c:pt>
              <c:pt idx="27">
                <c:v>2</c:v>
              </c:pt>
              <c:pt idx="28">
                <c:v>2</c:v>
              </c:pt>
              <c:pt idx="29">
                <c:v>2</c:v>
              </c:pt>
              <c:pt idx="30">
                <c:v>2</c:v>
              </c:pt>
              <c:pt idx="31">
                <c:v>2</c:v>
              </c:pt>
              <c:pt idx="32">
                <c:v>2</c:v>
              </c:pt>
              <c:pt idx="33">
                <c:v>2</c:v>
              </c:pt>
              <c:pt idx="34">
                <c:v>2</c:v>
              </c:pt>
              <c:pt idx="35">
                <c:v>2</c:v>
              </c:pt>
              <c:pt idx="36">
                <c:v>2</c:v>
              </c:pt>
              <c:pt idx="37">
                <c:v>2</c:v>
              </c:pt>
            </c:numLit>
          </c:yVal>
          <c:bubbleSize>
            <c:numLit>
              <c:formatCode>General</c:formatCode>
              <c:ptCount val="38"/>
              <c:pt idx="0">
                <c:v>10215817</c:v>
              </c:pt>
              <c:pt idx="1">
                <c:v>11925186</c:v>
              </c:pt>
              <c:pt idx="2">
                <c:v>11403190</c:v>
              </c:pt>
              <c:pt idx="3">
                <c:v>11064555</c:v>
              </c:pt>
              <c:pt idx="4">
                <c:v>9595172</c:v>
              </c:pt>
              <c:pt idx="5">
                <c:v>10151006</c:v>
              </c:pt>
              <c:pt idx="6">
                <c:v>11347537</c:v>
              </c:pt>
              <c:pt idx="7">
                <c:v>13124843</c:v>
              </c:pt>
              <c:pt idx="8">
                <c:v>13067693</c:v>
              </c:pt>
              <c:pt idx="9">
                <c:v>11332598</c:v>
              </c:pt>
              <c:pt idx="10">
                <c:v>9697654</c:v>
              </c:pt>
              <c:pt idx="11">
                <c:v>9914677</c:v>
              </c:pt>
              <c:pt idx="12">
                <c:v>8664833</c:v>
              </c:pt>
              <c:pt idx="13">
                <c:v>10937226</c:v>
              </c:pt>
              <c:pt idx="14">
                <c:v>10556287</c:v>
              </c:pt>
              <c:pt idx="15">
                <c:v>12604037</c:v>
              </c:pt>
              <c:pt idx="16">
                <c:v>11840053</c:v>
              </c:pt>
              <c:pt idx="17">
                <c:v>13613873</c:v>
              </c:pt>
              <c:pt idx="18">
                <c:v>11481600</c:v>
              </c:pt>
              <c:pt idx="19">
                <c:v>10443281</c:v>
              </c:pt>
              <c:pt idx="20">
                <c:v>8967535</c:v>
              </c:pt>
              <c:pt idx="21">
                <c:v>10107236</c:v>
              </c:pt>
              <c:pt idx="22">
                <c:v>9843874</c:v>
              </c:pt>
              <c:pt idx="23">
                <c:v>9637669</c:v>
              </c:pt>
              <c:pt idx="24">
                <c:v>10561550</c:v>
              </c:pt>
              <c:pt idx="25">
                <c:v>10604413</c:v>
              </c:pt>
              <c:pt idx="26">
                <c:v>8755474</c:v>
              </c:pt>
              <c:pt idx="27">
                <c:v>7997868</c:v>
              </c:pt>
              <c:pt idx="28">
                <c:v>7802800</c:v>
              </c:pt>
              <c:pt idx="29">
                <c:v>9122333</c:v>
              </c:pt>
              <c:pt idx="30">
                <c:v>10876238</c:v>
              </c:pt>
              <c:pt idx="31">
                <c:v>9277636</c:v>
              </c:pt>
              <c:pt idx="32">
                <c:v>6493603</c:v>
              </c:pt>
              <c:pt idx="33">
                <c:v>7767734</c:v>
              </c:pt>
              <c:pt idx="34">
                <c:v>6253523</c:v>
              </c:pt>
              <c:pt idx="35">
                <c:v>6598809</c:v>
              </c:pt>
              <c:pt idx="36">
                <c:v>8246090</c:v>
              </c:pt>
              <c:pt idx="37">
                <c:v>3636015</c:v>
              </c:pt>
            </c:numLit>
          </c:bubbleSize>
        </c:ser>
        <c:ser>
          <c:idx val="3"/>
          <c:order val="3"/>
          <c:tx>
            <c:v>AGE 3</c:v>
          </c:tx>
          <c:xVal>
            <c:numRef>
              <c:f>'Table2-NAA'!$A$4:$A$41</c:f>
              <c:numCache>
                <c:formatCode>General</c:formatCode>
                <c:ptCount val="38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Lit>
              <c:formatCode>General</c:formatCode>
              <c:ptCount val="38"/>
              <c:pt idx="0">
                <c:v>3</c:v>
              </c:pt>
              <c:pt idx="1">
                <c:v>3</c:v>
              </c:pt>
              <c:pt idx="2">
                <c:v>3</c:v>
              </c:pt>
              <c:pt idx="3">
                <c:v>3</c:v>
              </c:pt>
              <c:pt idx="4">
                <c:v>3</c:v>
              </c:pt>
              <c:pt idx="5">
                <c:v>3</c:v>
              </c:pt>
              <c:pt idx="6">
                <c:v>3</c:v>
              </c:pt>
              <c:pt idx="7">
                <c:v>3</c:v>
              </c:pt>
              <c:pt idx="8">
                <c:v>3</c:v>
              </c:pt>
              <c:pt idx="9">
                <c:v>3</c:v>
              </c:pt>
              <c:pt idx="10">
                <c:v>3</c:v>
              </c:pt>
              <c:pt idx="11">
                <c:v>3</c:v>
              </c:pt>
              <c:pt idx="12">
                <c:v>3</c:v>
              </c:pt>
              <c:pt idx="13">
                <c:v>3</c:v>
              </c:pt>
              <c:pt idx="14">
                <c:v>3</c:v>
              </c:pt>
              <c:pt idx="15">
                <c:v>3</c:v>
              </c:pt>
              <c:pt idx="16">
                <c:v>3</c:v>
              </c:pt>
              <c:pt idx="17">
                <c:v>3</c:v>
              </c:pt>
              <c:pt idx="18">
                <c:v>3</c:v>
              </c:pt>
              <c:pt idx="19">
                <c:v>3</c:v>
              </c:pt>
              <c:pt idx="20">
                <c:v>3</c:v>
              </c:pt>
              <c:pt idx="21">
                <c:v>3</c:v>
              </c:pt>
              <c:pt idx="22">
                <c:v>3</c:v>
              </c:pt>
              <c:pt idx="23">
                <c:v>3</c:v>
              </c:pt>
              <c:pt idx="24">
                <c:v>3</c:v>
              </c:pt>
              <c:pt idx="25">
                <c:v>3</c:v>
              </c:pt>
              <c:pt idx="26">
                <c:v>3</c:v>
              </c:pt>
              <c:pt idx="27">
                <c:v>3</c:v>
              </c:pt>
              <c:pt idx="28">
                <c:v>3</c:v>
              </c:pt>
              <c:pt idx="29">
                <c:v>3</c:v>
              </c:pt>
              <c:pt idx="30">
                <c:v>3</c:v>
              </c:pt>
              <c:pt idx="31">
                <c:v>3</c:v>
              </c:pt>
              <c:pt idx="32">
                <c:v>3</c:v>
              </c:pt>
              <c:pt idx="33">
                <c:v>3</c:v>
              </c:pt>
              <c:pt idx="34">
                <c:v>3</c:v>
              </c:pt>
              <c:pt idx="35">
                <c:v>3</c:v>
              </c:pt>
              <c:pt idx="36">
                <c:v>3</c:v>
              </c:pt>
              <c:pt idx="37">
                <c:v>3</c:v>
              </c:pt>
            </c:numLit>
          </c:yVal>
          <c:bubbleSize>
            <c:numLit>
              <c:formatCode>General</c:formatCode>
              <c:ptCount val="38"/>
              <c:pt idx="0">
                <c:v>6575939</c:v>
              </c:pt>
              <c:pt idx="1">
                <c:v>5165138</c:v>
              </c:pt>
              <c:pt idx="2">
                <c:v>5612298</c:v>
              </c:pt>
              <c:pt idx="3">
                <c:v>5178780</c:v>
              </c:pt>
              <c:pt idx="4">
                <c:v>5166483</c:v>
              </c:pt>
              <c:pt idx="5">
                <c:v>4344316</c:v>
              </c:pt>
              <c:pt idx="6">
                <c:v>4331528</c:v>
              </c:pt>
              <c:pt idx="7">
                <c:v>5223100</c:v>
              </c:pt>
              <c:pt idx="8">
                <c:v>5965426</c:v>
              </c:pt>
              <c:pt idx="9">
                <c:v>5754370</c:v>
              </c:pt>
              <c:pt idx="10">
                <c:v>5477721</c:v>
              </c:pt>
              <c:pt idx="11">
                <c:v>4420187</c:v>
              </c:pt>
              <c:pt idx="12">
                <c:v>4372783</c:v>
              </c:pt>
              <c:pt idx="13">
                <c:v>3760366</c:v>
              </c:pt>
              <c:pt idx="14">
                <c:v>4789281</c:v>
              </c:pt>
              <c:pt idx="15">
                <c:v>4387424</c:v>
              </c:pt>
              <c:pt idx="16">
                <c:v>5372577</c:v>
              </c:pt>
              <c:pt idx="17">
                <c:v>5552138</c:v>
              </c:pt>
              <c:pt idx="18">
                <c:v>6375221</c:v>
              </c:pt>
              <c:pt idx="19">
                <c:v>5476431</c:v>
              </c:pt>
              <c:pt idx="20">
                <c:v>5044810</c:v>
              </c:pt>
              <c:pt idx="21">
                <c:v>4213854</c:v>
              </c:pt>
              <c:pt idx="22">
                <c:v>4691539</c:v>
              </c:pt>
              <c:pt idx="23">
                <c:v>4508054</c:v>
              </c:pt>
              <c:pt idx="24">
                <c:v>4186588</c:v>
              </c:pt>
              <c:pt idx="25">
                <c:v>4217068</c:v>
              </c:pt>
              <c:pt idx="26">
                <c:v>4704882</c:v>
              </c:pt>
              <c:pt idx="27">
                <c:v>3861896</c:v>
              </c:pt>
              <c:pt idx="28">
                <c:v>3601453</c:v>
              </c:pt>
              <c:pt idx="29">
                <c:v>3373072</c:v>
              </c:pt>
              <c:pt idx="30">
                <c:v>3767123</c:v>
              </c:pt>
              <c:pt idx="31">
                <c:v>5046264</c:v>
              </c:pt>
              <c:pt idx="32">
                <c:v>3955502</c:v>
              </c:pt>
              <c:pt idx="33">
                <c:v>2876174</c:v>
              </c:pt>
              <c:pt idx="34">
                <c:v>3533996</c:v>
              </c:pt>
              <c:pt idx="35">
                <c:v>2604309</c:v>
              </c:pt>
              <c:pt idx="36">
                <c:v>2974363</c:v>
              </c:pt>
              <c:pt idx="37">
                <c:v>1089105</c:v>
              </c:pt>
            </c:numLit>
          </c:bubbleSize>
        </c:ser>
        <c:ser>
          <c:idx val="4"/>
          <c:order val="4"/>
          <c:tx>
            <c:v>AGE 4</c:v>
          </c:tx>
          <c:xVal>
            <c:numRef>
              <c:f>'Table2-NAA'!$A$4:$A$41</c:f>
              <c:numCache>
                <c:formatCode>General</c:formatCode>
                <c:ptCount val="38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Lit>
              <c:formatCode>General</c:formatCode>
              <c:ptCount val="38"/>
              <c:pt idx="0">
                <c:v>4</c:v>
              </c:pt>
              <c:pt idx="1">
                <c:v>4</c:v>
              </c:pt>
              <c:pt idx="2">
                <c:v>4</c:v>
              </c:pt>
              <c:pt idx="3">
                <c:v>4</c:v>
              </c:pt>
              <c:pt idx="4">
                <c:v>4</c:v>
              </c:pt>
              <c:pt idx="5">
                <c:v>4</c:v>
              </c:pt>
              <c:pt idx="6">
                <c:v>4</c:v>
              </c:pt>
              <c:pt idx="7">
                <c:v>4</c:v>
              </c:pt>
              <c:pt idx="8">
                <c:v>4</c:v>
              </c:pt>
              <c:pt idx="9">
                <c:v>4</c:v>
              </c:pt>
              <c:pt idx="10">
                <c:v>4</c:v>
              </c:pt>
              <c:pt idx="11">
                <c:v>4</c:v>
              </c:pt>
              <c:pt idx="12">
                <c:v>4</c:v>
              </c:pt>
              <c:pt idx="13">
                <c:v>4</c:v>
              </c:pt>
              <c:pt idx="14">
                <c:v>4</c:v>
              </c:pt>
              <c:pt idx="15">
                <c:v>4</c:v>
              </c:pt>
              <c:pt idx="16">
                <c:v>4</c:v>
              </c:pt>
              <c:pt idx="17">
                <c:v>4</c:v>
              </c:pt>
              <c:pt idx="18">
                <c:v>4</c:v>
              </c:pt>
              <c:pt idx="19">
                <c:v>4</c:v>
              </c:pt>
              <c:pt idx="20">
                <c:v>4</c:v>
              </c:pt>
              <c:pt idx="21">
                <c:v>4</c:v>
              </c:pt>
              <c:pt idx="22">
                <c:v>4</c:v>
              </c:pt>
              <c:pt idx="23">
                <c:v>4</c:v>
              </c:pt>
              <c:pt idx="24">
                <c:v>4</c:v>
              </c:pt>
              <c:pt idx="25">
                <c:v>4</c:v>
              </c:pt>
              <c:pt idx="26">
                <c:v>4</c:v>
              </c:pt>
              <c:pt idx="27">
                <c:v>4</c:v>
              </c:pt>
              <c:pt idx="28">
                <c:v>4</c:v>
              </c:pt>
              <c:pt idx="29">
                <c:v>4</c:v>
              </c:pt>
              <c:pt idx="30">
                <c:v>4</c:v>
              </c:pt>
              <c:pt idx="31">
                <c:v>4</c:v>
              </c:pt>
              <c:pt idx="32">
                <c:v>4</c:v>
              </c:pt>
              <c:pt idx="33">
                <c:v>4</c:v>
              </c:pt>
              <c:pt idx="34">
                <c:v>4</c:v>
              </c:pt>
              <c:pt idx="35">
                <c:v>4</c:v>
              </c:pt>
              <c:pt idx="36">
                <c:v>4</c:v>
              </c:pt>
              <c:pt idx="37">
                <c:v>4</c:v>
              </c:pt>
            </c:numLit>
          </c:yVal>
          <c:bubbleSize>
            <c:numLit>
              <c:formatCode>General</c:formatCode>
              <c:ptCount val="38"/>
              <c:pt idx="0">
                <c:v>3134956</c:v>
              </c:pt>
              <c:pt idx="1">
                <c:v>3137584</c:v>
              </c:pt>
              <c:pt idx="2">
                <c:v>2490604</c:v>
              </c:pt>
              <c:pt idx="3">
                <c:v>2512165</c:v>
              </c:pt>
              <c:pt idx="4">
                <c:v>2256343</c:v>
              </c:pt>
              <c:pt idx="5">
                <c:v>2188424</c:v>
              </c:pt>
              <c:pt idx="6">
                <c:v>1778419</c:v>
              </c:pt>
              <c:pt idx="7">
                <c:v>1753243</c:v>
              </c:pt>
              <c:pt idx="8">
                <c:v>2167787</c:v>
              </c:pt>
              <c:pt idx="9">
                <c:v>2442806</c:v>
              </c:pt>
              <c:pt idx="10">
                <c:v>2326431</c:v>
              </c:pt>
              <c:pt idx="11">
                <c:v>2305835</c:v>
              </c:pt>
              <c:pt idx="12">
                <c:v>1760623</c:v>
              </c:pt>
              <c:pt idx="13">
                <c:v>1532928</c:v>
              </c:pt>
              <c:pt idx="14">
                <c:v>1148650</c:v>
              </c:pt>
              <c:pt idx="15">
                <c:v>2008042</c:v>
              </c:pt>
              <c:pt idx="16">
                <c:v>1720506</c:v>
              </c:pt>
              <c:pt idx="17">
                <c:v>1981275</c:v>
              </c:pt>
              <c:pt idx="18">
                <c:v>2287823</c:v>
              </c:pt>
              <c:pt idx="19">
                <c:v>2520662</c:v>
              </c:pt>
              <c:pt idx="20">
                <c:v>2135131</c:v>
              </c:pt>
              <c:pt idx="21">
                <c:v>1800804</c:v>
              </c:pt>
              <c:pt idx="22">
                <c:v>1520016</c:v>
              </c:pt>
              <c:pt idx="23">
                <c:v>1650493</c:v>
              </c:pt>
              <c:pt idx="24">
                <c:v>1497811</c:v>
              </c:pt>
              <c:pt idx="25">
                <c:v>1518291</c:v>
              </c:pt>
              <c:pt idx="26">
                <c:v>1597465</c:v>
              </c:pt>
              <c:pt idx="27">
                <c:v>1762390</c:v>
              </c:pt>
              <c:pt idx="28">
                <c:v>1541081</c:v>
              </c:pt>
              <c:pt idx="29">
                <c:v>1382308</c:v>
              </c:pt>
              <c:pt idx="30">
                <c:v>1279359</c:v>
              </c:pt>
              <c:pt idx="31">
                <c:v>1259765</c:v>
              </c:pt>
              <c:pt idx="32">
                <c:v>1859638</c:v>
              </c:pt>
              <c:pt idx="33">
                <c:v>1537592</c:v>
              </c:pt>
              <c:pt idx="34">
                <c:v>1031846</c:v>
              </c:pt>
              <c:pt idx="35">
                <c:v>1313439</c:v>
              </c:pt>
              <c:pt idx="36">
                <c:v>1017607</c:v>
              </c:pt>
              <c:pt idx="37">
                <c:v>618930</c:v>
              </c:pt>
            </c:numLit>
          </c:bubbleSize>
        </c:ser>
        <c:ser>
          <c:idx val="5"/>
          <c:order val="5"/>
          <c:tx>
            <c:v>AGE 5</c:v>
          </c:tx>
          <c:xVal>
            <c:numRef>
              <c:f>'Table2-NAA'!$A$4:$A$41</c:f>
              <c:numCache>
                <c:formatCode>General</c:formatCode>
                <c:ptCount val="38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Lit>
              <c:formatCode>General</c:formatCode>
              <c:ptCount val="38"/>
              <c:pt idx="0">
                <c:v>5</c:v>
              </c:pt>
              <c:pt idx="1">
                <c:v>5</c:v>
              </c:pt>
              <c:pt idx="2">
                <c:v>5</c:v>
              </c:pt>
              <c:pt idx="3">
                <c:v>5</c:v>
              </c:pt>
              <c:pt idx="4">
                <c:v>5</c:v>
              </c:pt>
              <c:pt idx="5">
                <c:v>5</c:v>
              </c:pt>
              <c:pt idx="6">
                <c:v>5</c:v>
              </c:pt>
              <c:pt idx="7">
                <c:v>5</c:v>
              </c:pt>
              <c:pt idx="8">
                <c:v>5</c:v>
              </c:pt>
              <c:pt idx="9">
                <c:v>5</c:v>
              </c:pt>
              <c:pt idx="10">
                <c:v>5</c:v>
              </c:pt>
              <c:pt idx="11">
                <c:v>5</c:v>
              </c:pt>
              <c:pt idx="12">
                <c:v>5</c:v>
              </c:pt>
              <c:pt idx="13">
                <c:v>5</c:v>
              </c:pt>
              <c:pt idx="14">
                <c:v>5</c:v>
              </c:pt>
              <c:pt idx="15">
                <c:v>5</c:v>
              </c:pt>
              <c:pt idx="16">
                <c:v>5</c:v>
              </c:pt>
              <c:pt idx="17">
                <c:v>5</c:v>
              </c:pt>
              <c:pt idx="18">
                <c:v>5</c:v>
              </c:pt>
              <c:pt idx="19">
                <c:v>5</c:v>
              </c:pt>
              <c:pt idx="20">
                <c:v>5</c:v>
              </c:pt>
              <c:pt idx="21">
                <c:v>5</c:v>
              </c:pt>
              <c:pt idx="22">
                <c:v>5</c:v>
              </c:pt>
              <c:pt idx="23">
                <c:v>5</c:v>
              </c:pt>
              <c:pt idx="24">
                <c:v>5</c:v>
              </c:pt>
              <c:pt idx="25">
                <c:v>5</c:v>
              </c:pt>
              <c:pt idx="26">
                <c:v>5</c:v>
              </c:pt>
              <c:pt idx="27">
                <c:v>5</c:v>
              </c:pt>
              <c:pt idx="28">
                <c:v>5</c:v>
              </c:pt>
              <c:pt idx="29">
                <c:v>5</c:v>
              </c:pt>
              <c:pt idx="30">
                <c:v>5</c:v>
              </c:pt>
              <c:pt idx="31">
                <c:v>5</c:v>
              </c:pt>
              <c:pt idx="32">
                <c:v>5</c:v>
              </c:pt>
              <c:pt idx="33">
                <c:v>5</c:v>
              </c:pt>
              <c:pt idx="34">
                <c:v>5</c:v>
              </c:pt>
              <c:pt idx="35">
                <c:v>5</c:v>
              </c:pt>
              <c:pt idx="36">
                <c:v>5</c:v>
              </c:pt>
              <c:pt idx="37">
                <c:v>5</c:v>
              </c:pt>
            </c:numLit>
          </c:yVal>
          <c:bubbleSize>
            <c:numLit>
              <c:formatCode>General</c:formatCode>
              <c:ptCount val="38"/>
              <c:pt idx="0">
                <c:v>3368437</c:v>
              </c:pt>
              <c:pt idx="1">
                <c:v>3264003</c:v>
              </c:pt>
              <c:pt idx="2">
                <c:v>3247341</c:v>
              </c:pt>
              <c:pt idx="3">
                <c:v>2872835</c:v>
              </c:pt>
              <c:pt idx="4">
                <c:v>2612477</c:v>
              </c:pt>
              <c:pt idx="5">
                <c:v>2297829</c:v>
              </c:pt>
              <c:pt idx="6">
                <c:v>1914091</c:v>
              </c:pt>
              <c:pt idx="7">
                <c:v>1528911</c:v>
              </c:pt>
              <c:pt idx="8">
                <c:v>1364871</c:v>
              </c:pt>
              <c:pt idx="9">
                <c:v>1576818</c:v>
              </c:pt>
              <c:pt idx="10">
                <c:v>1766602</c:v>
              </c:pt>
              <c:pt idx="11">
                <c:v>1803809</c:v>
              </c:pt>
              <c:pt idx="12">
                <c:v>1580039</c:v>
              </c:pt>
              <c:pt idx="13">
                <c:v>1229842</c:v>
              </c:pt>
              <c:pt idx="14">
                <c:v>930204</c:v>
              </c:pt>
              <c:pt idx="15">
                <c:v>966883</c:v>
              </c:pt>
              <c:pt idx="16">
                <c:v>1060521</c:v>
              </c:pt>
              <c:pt idx="17">
                <c:v>1060359</c:v>
              </c:pt>
              <c:pt idx="18">
                <c:v>1158246</c:v>
              </c:pt>
              <c:pt idx="19">
                <c:v>1514983</c:v>
              </c:pt>
              <c:pt idx="20">
                <c:v>1458268</c:v>
              </c:pt>
              <c:pt idx="21">
                <c:v>1111123</c:v>
              </c:pt>
              <c:pt idx="22">
                <c:v>924179</c:v>
              </c:pt>
              <c:pt idx="23">
                <c:v>709991</c:v>
              </c:pt>
              <c:pt idx="24">
                <c:v>714638</c:v>
              </c:pt>
              <c:pt idx="25">
                <c:v>612047</c:v>
              </c:pt>
              <c:pt idx="26">
                <c:v>603493</c:v>
              </c:pt>
              <c:pt idx="27">
                <c:v>661222</c:v>
              </c:pt>
              <c:pt idx="28">
                <c:v>779118</c:v>
              </c:pt>
              <c:pt idx="29">
                <c:v>676773</c:v>
              </c:pt>
              <c:pt idx="30">
                <c:v>690498</c:v>
              </c:pt>
              <c:pt idx="31">
                <c:v>672361</c:v>
              </c:pt>
              <c:pt idx="32">
                <c:v>600154</c:v>
              </c:pt>
              <c:pt idx="33">
                <c:v>858686</c:v>
              </c:pt>
              <c:pt idx="34">
                <c:v>877243</c:v>
              </c:pt>
              <c:pt idx="35">
                <c:v>710025</c:v>
              </c:pt>
              <c:pt idx="36">
                <c:v>731458</c:v>
              </c:pt>
              <c:pt idx="37">
                <c:v>0</c:v>
              </c:pt>
            </c:numLit>
          </c:bubbleSize>
        </c:ser>
        <c:ser>
          <c:idx val="6"/>
          <c:order val="6"/>
          <c:bubbleSize>
            <c:numLit>
              <c:formatCode>General</c:formatCode>
              <c:ptCount val="38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</c:numLit>
          </c:bubbleSize>
        </c:ser>
        <c:bubbleScale val="75"/>
        <c:axId val="204379648"/>
        <c:axId val="204381184"/>
      </c:bubbleChart>
      <c:valAx>
        <c:axId val="204379648"/>
        <c:scaling>
          <c:orientation val="minMax"/>
          <c:max val="2010"/>
          <c:min val="1965"/>
        </c:scaling>
        <c:axPos val="b"/>
        <c:numFmt formatCode="General" sourceLinked="1"/>
        <c:tickLblPos val="nextTo"/>
        <c:crossAx val="204381184"/>
        <c:crossesAt val="-1"/>
        <c:crossBetween val="midCat"/>
      </c:valAx>
      <c:valAx>
        <c:axId val="204381184"/>
        <c:scaling>
          <c:orientation val="minMax"/>
          <c:min val="-1"/>
        </c:scaling>
        <c:axPos val="l"/>
        <c:majorGridlines/>
        <c:numFmt formatCode="General" sourceLinked="1"/>
        <c:tickLblPos val="nextTo"/>
        <c:crossAx val="204379648"/>
        <c:crosses val="autoZero"/>
        <c:crossBetween val="midCat"/>
      </c:valAx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'Titles and Variables'!$I$12:$J$12</c:f>
          <c:strCache>
            <c:ptCount val="1"/>
            <c:pt idx="0">
              <c:v>ATL Catch-at-Age</c:v>
            </c:pt>
          </c:strCache>
        </c:strRef>
      </c:tx>
      <c:layout>
        <c:manualLayout>
          <c:xMode val="edge"/>
          <c:yMode val="edge"/>
          <c:x val="0.34951511540996011"/>
          <c:y val="3.155343545376444E-2"/>
        </c:manualLayout>
      </c:layout>
    </c:title>
    <c:plotArea>
      <c:layout>
        <c:manualLayout>
          <c:layoutTarget val="inner"/>
          <c:xMode val="edge"/>
          <c:yMode val="edge"/>
          <c:x val="0.23948257907719478"/>
          <c:y val="0.19174780006518324"/>
          <c:w val="0.5436901795266037"/>
          <c:h val="0.54368996474178544"/>
        </c:manualLayout>
      </c:layout>
      <c:scatterChart>
        <c:scatterStyle val="lineMarker"/>
        <c:ser>
          <c:idx val="0"/>
          <c:order val="0"/>
          <c:tx>
            <c:strRef>
              <c:f>'Table3-CAA'!$B$3</c:f>
              <c:strCache>
                <c:ptCount val="1"/>
                <c:pt idx="0">
                  <c:v>AGE 0</c:v>
                </c:pt>
              </c:strCache>
            </c:strRef>
          </c:tx>
          <c:xVal>
            <c:numRef>
              <c:f>'Table3-CAA'!$A$4:$A$98</c:f>
              <c:numCache>
                <c:formatCode>General</c:formatCode>
                <c:ptCount val="95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'Table3-CAA'!$B$4:$B$98</c:f>
              <c:numCache>
                <c:formatCode>General</c:formatCode>
                <c:ptCount val="95"/>
                <c:pt idx="0">
                  <c:v>361290</c:v>
                </c:pt>
                <c:pt idx="1">
                  <c:v>344448</c:v>
                </c:pt>
                <c:pt idx="2">
                  <c:v>370595</c:v>
                </c:pt>
                <c:pt idx="3">
                  <c:v>243206</c:v>
                </c:pt>
                <c:pt idx="4">
                  <c:v>886952</c:v>
                </c:pt>
                <c:pt idx="5">
                  <c:v>1850686</c:v>
                </c:pt>
                <c:pt idx="6">
                  <c:v>2183572</c:v>
                </c:pt>
                <c:pt idx="7">
                  <c:v>1488116</c:v>
                </c:pt>
                <c:pt idx="8">
                  <c:v>1592943</c:v>
                </c:pt>
                <c:pt idx="9">
                  <c:v>2028285</c:v>
                </c:pt>
                <c:pt idx="10">
                  <c:v>3200008</c:v>
                </c:pt>
                <c:pt idx="11">
                  <c:v>6758071</c:v>
                </c:pt>
                <c:pt idx="12">
                  <c:v>2657563</c:v>
                </c:pt>
                <c:pt idx="13">
                  <c:v>4323476</c:v>
                </c:pt>
                <c:pt idx="14">
                  <c:v>2901125</c:v>
                </c:pt>
                <c:pt idx="15">
                  <c:v>4268983</c:v>
                </c:pt>
                <c:pt idx="16">
                  <c:v>3706439</c:v>
                </c:pt>
                <c:pt idx="17">
                  <c:v>6280192</c:v>
                </c:pt>
                <c:pt idx="18">
                  <c:v>5045170</c:v>
                </c:pt>
                <c:pt idx="19">
                  <c:v>5844442</c:v>
                </c:pt>
                <c:pt idx="20">
                  <c:v>6840077</c:v>
                </c:pt>
                <c:pt idx="21">
                  <c:v>6313402</c:v>
                </c:pt>
                <c:pt idx="22">
                  <c:v>6170239</c:v>
                </c:pt>
                <c:pt idx="23">
                  <c:v>8654594</c:v>
                </c:pt>
                <c:pt idx="24">
                  <c:v>4983084</c:v>
                </c:pt>
                <c:pt idx="25">
                  <c:v>5210909</c:v>
                </c:pt>
                <c:pt idx="26">
                  <c:v>5415623</c:v>
                </c:pt>
                <c:pt idx="27">
                  <c:v>5109588</c:v>
                </c:pt>
                <c:pt idx="28">
                  <c:v>5261746</c:v>
                </c:pt>
                <c:pt idx="29">
                  <c:v>6104314</c:v>
                </c:pt>
                <c:pt idx="30">
                  <c:v>8362333</c:v>
                </c:pt>
                <c:pt idx="31">
                  <c:v>7465211</c:v>
                </c:pt>
                <c:pt idx="32">
                  <c:v>7175201</c:v>
                </c:pt>
                <c:pt idx="33">
                  <c:v>6879341</c:v>
                </c:pt>
                <c:pt idx="34">
                  <c:v>7118910</c:v>
                </c:pt>
                <c:pt idx="35">
                  <c:v>5792990</c:v>
                </c:pt>
                <c:pt idx="36">
                  <c:v>4628314</c:v>
                </c:pt>
              </c:numCache>
            </c:numRef>
          </c:yVal>
        </c:ser>
        <c:ser>
          <c:idx val="1"/>
          <c:order val="1"/>
          <c:tx>
            <c:strRef>
              <c:f>'Table3-CAA'!$C$3</c:f>
              <c:strCache>
                <c:ptCount val="1"/>
                <c:pt idx="0">
                  <c:v>AGE 1</c:v>
                </c:pt>
              </c:strCache>
            </c:strRef>
          </c:tx>
          <c:xVal>
            <c:numRef>
              <c:f>'Table3-CAA'!$A$4:$A$98</c:f>
              <c:numCache>
                <c:formatCode>General</c:formatCode>
                <c:ptCount val="95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'Table3-CAA'!$C$4:$C$98</c:f>
              <c:numCache>
                <c:formatCode>General</c:formatCode>
                <c:ptCount val="95"/>
                <c:pt idx="0">
                  <c:v>2229482</c:v>
                </c:pt>
                <c:pt idx="1">
                  <c:v>1977021</c:v>
                </c:pt>
                <c:pt idx="2">
                  <c:v>2052767</c:v>
                </c:pt>
                <c:pt idx="3">
                  <c:v>1577104</c:v>
                </c:pt>
                <c:pt idx="4">
                  <c:v>2496615</c:v>
                </c:pt>
                <c:pt idx="5">
                  <c:v>2801854</c:v>
                </c:pt>
                <c:pt idx="6">
                  <c:v>3635133</c:v>
                </c:pt>
                <c:pt idx="7">
                  <c:v>4057058</c:v>
                </c:pt>
                <c:pt idx="8">
                  <c:v>3664928</c:v>
                </c:pt>
                <c:pt idx="9">
                  <c:v>3775358</c:v>
                </c:pt>
                <c:pt idx="10">
                  <c:v>4016663</c:v>
                </c:pt>
                <c:pt idx="11">
                  <c:v>4062149</c:v>
                </c:pt>
                <c:pt idx="12">
                  <c:v>6800765</c:v>
                </c:pt>
                <c:pt idx="13">
                  <c:v>4680819</c:v>
                </c:pt>
                <c:pt idx="14">
                  <c:v>6946804</c:v>
                </c:pt>
                <c:pt idx="15">
                  <c:v>4165569</c:v>
                </c:pt>
                <c:pt idx="16">
                  <c:v>4362541</c:v>
                </c:pt>
                <c:pt idx="17">
                  <c:v>4318997</c:v>
                </c:pt>
                <c:pt idx="18">
                  <c:v>5018133</c:v>
                </c:pt>
                <c:pt idx="19">
                  <c:v>4139343</c:v>
                </c:pt>
                <c:pt idx="20">
                  <c:v>5910204</c:v>
                </c:pt>
                <c:pt idx="21">
                  <c:v>5500947</c:v>
                </c:pt>
                <c:pt idx="22">
                  <c:v>5029419</c:v>
                </c:pt>
                <c:pt idx="23">
                  <c:v>5382283</c:v>
                </c:pt>
                <c:pt idx="24">
                  <c:v>6443400</c:v>
                </c:pt>
                <c:pt idx="25">
                  <c:v>4889679</c:v>
                </c:pt>
                <c:pt idx="26">
                  <c:v>5453178</c:v>
                </c:pt>
                <c:pt idx="27">
                  <c:v>6051401</c:v>
                </c:pt>
                <c:pt idx="28">
                  <c:v>7237372</c:v>
                </c:pt>
                <c:pt idx="29">
                  <c:v>11684800</c:v>
                </c:pt>
                <c:pt idx="30">
                  <c:v>5878954</c:v>
                </c:pt>
                <c:pt idx="31">
                  <c:v>10065910</c:v>
                </c:pt>
                <c:pt idx="32">
                  <c:v>8115388</c:v>
                </c:pt>
                <c:pt idx="33">
                  <c:v>7202107</c:v>
                </c:pt>
                <c:pt idx="34">
                  <c:v>5801751</c:v>
                </c:pt>
                <c:pt idx="35">
                  <c:v>6796869</c:v>
                </c:pt>
                <c:pt idx="36">
                  <c:v>3926747</c:v>
                </c:pt>
              </c:numCache>
            </c:numRef>
          </c:yVal>
        </c:ser>
        <c:ser>
          <c:idx val="2"/>
          <c:order val="2"/>
          <c:tx>
            <c:strRef>
              <c:f>'Table3-CAA'!$D$3</c:f>
              <c:strCache>
                <c:ptCount val="1"/>
                <c:pt idx="0">
                  <c:v>AGE 2</c:v>
                </c:pt>
              </c:strCache>
            </c:strRef>
          </c:tx>
          <c:xVal>
            <c:numRef>
              <c:f>'Table3-CAA'!$A$4:$A$98</c:f>
              <c:numCache>
                <c:formatCode>General</c:formatCode>
                <c:ptCount val="95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'Table3-CAA'!$D$4:$D$98</c:f>
              <c:numCache>
                <c:formatCode>General</c:formatCode>
                <c:ptCount val="95"/>
                <c:pt idx="0">
                  <c:v>607301</c:v>
                </c:pt>
                <c:pt idx="1">
                  <c:v>1287353</c:v>
                </c:pt>
                <c:pt idx="2">
                  <c:v>1492978</c:v>
                </c:pt>
                <c:pt idx="3">
                  <c:v>1251198</c:v>
                </c:pt>
                <c:pt idx="4">
                  <c:v>1274896</c:v>
                </c:pt>
                <c:pt idx="5">
                  <c:v>1719568</c:v>
                </c:pt>
                <c:pt idx="6">
                  <c:v>1388487</c:v>
                </c:pt>
                <c:pt idx="7">
                  <c:v>1711726</c:v>
                </c:pt>
                <c:pt idx="8">
                  <c:v>1963323</c:v>
                </c:pt>
                <c:pt idx="9">
                  <c:v>1022740</c:v>
                </c:pt>
                <c:pt idx="10">
                  <c:v>1247358</c:v>
                </c:pt>
                <c:pt idx="11">
                  <c:v>1479983</c:v>
                </c:pt>
                <c:pt idx="12">
                  <c:v>1379253</c:v>
                </c:pt>
                <c:pt idx="13">
                  <c:v>1680974</c:v>
                </c:pt>
                <c:pt idx="14">
                  <c:v>1953147</c:v>
                </c:pt>
                <c:pt idx="15">
                  <c:v>2143130</c:v>
                </c:pt>
                <c:pt idx="16">
                  <c:v>1306129</c:v>
                </c:pt>
                <c:pt idx="17">
                  <c:v>1513905</c:v>
                </c:pt>
                <c:pt idx="18">
                  <c:v>1138051</c:v>
                </c:pt>
                <c:pt idx="19">
                  <c:v>946698</c:v>
                </c:pt>
                <c:pt idx="20">
                  <c:v>977104</c:v>
                </c:pt>
                <c:pt idx="21">
                  <c:v>1181880</c:v>
                </c:pt>
                <c:pt idx="22">
                  <c:v>1236534</c:v>
                </c:pt>
                <c:pt idx="23">
                  <c:v>1528458</c:v>
                </c:pt>
                <c:pt idx="24">
                  <c:v>2198100</c:v>
                </c:pt>
                <c:pt idx="25">
                  <c:v>1543835</c:v>
                </c:pt>
                <c:pt idx="26">
                  <c:v>1306456</c:v>
                </c:pt>
                <c:pt idx="27">
                  <c:v>1090160</c:v>
                </c:pt>
                <c:pt idx="28">
                  <c:v>1260581</c:v>
                </c:pt>
                <c:pt idx="29">
                  <c:v>1722161</c:v>
                </c:pt>
                <c:pt idx="30">
                  <c:v>1274923</c:v>
                </c:pt>
                <c:pt idx="31">
                  <c:v>1576328</c:v>
                </c:pt>
                <c:pt idx="32">
                  <c:v>952183</c:v>
                </c:pt>
                <c:pt idx="33">
                  <c:v>1008228</c:v>
                </c:pt>
                <c:pt idx="34">
                  <c:v>1149694</c:v>
                </c:pt>
                <c:pt idx="35">
                  <c:v>895413</c:v>
                </c:pt>
                <c:pt idx="36">
                  <c:v>1232116</c:v>
                </c:pt>
              </c:numCache>
            </c:numRef>
          </c:yVal>
        </c:ser>
        <c:ser>
          <c:idx val="3"/>
          <c:order val="3"/>
          <c:tx>
            <c:strRef>
              <c:f>'Table3-CAA'!$E$3</c:f>
              <c:strCache>
                <c:ptCount val="1"/>
                <c:pt idx="0">
                  <c:v>AGE 3</c:v>
                </c:pt>
              </c:strCache>
            </c:strRef>
          </c:tx>
          <c:xVal>
            <c:numRef>
              <c:f>'Table3-CAA'!$A$4:$A$98</c:f>
              <c:numCache>
                <c:formatCode>General</c:formatCode>
                <c:ptCount val="95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'Table3-CAA'!$E$4:$E$98</c:f>
              <c:numCache>
                <c:formatCode>General</c:formatCode>
                <c:ptCount val="95"/>
                <c:pt idx="0">
                  <c:v>650369</c:v>
                </c:pt>
                <c:pt idx="1">
                  <c:v>474486</c:v>
                </c:pt>
                <c:pt idx="2">
                  <c:v>786068</c:v>
                </c:pt>
                <c:pt idx="3">
                  <c:v>811921</c:v>
                </c:pt>
                <c:pt idx="4">
                  <c:v>897957</c:v>
                </c:pt>
                <c:pt idx="5">
                  <c:v>842170</c:v>
                </c:pt>
                <c:pt idx="6">
                  <c:v>867883</c:v>
                </c:pt>
                <c:pt idx="7">
                  <c:v>970685</c:v>
                </c:pt>
                <c:pt idx="8">
                  <c:v>1155362</c:v>
                </c:pt>
                <c:pt idx="9">
                  <c:v>1156845</c:v>
                </c:pt>
                <c:pt idx="10">
                  <c:v>972350</c:v>
                </c:pt>
                <c:pt idx="11">
                  <c:v>926044</c:v>
                </c:pt>
                <c:pt idx="12">
                  <c:v>1214320</c:v>
                </c:pt>
                <c:pt idx="13">
                  <c:v>1290371</c:v>
                </c:pt>
                <c:pt idx="14">
                  <c:v>861417</c:v>
                </c:pt>
                <c:pt idx="15">
                  <c:v>957578</c:v>
                </c:pt>
                <c:pt idx="16">
                  <c:v>1351567</c:v>
                </c:pt>
                <c:pt idx="17">
                  <c:v>1055188</c:v>
                </c:pt>
                <c:pt idx="18">
                  <c:v>1362108</c:v>
                </c:pt>
                <c:pt idx="19">
                  <c:v>1212904</c:v>
                </c:pt>
                <c:pt idx="20">
                  <c:v>1354542</c:v>
                </c:pt>
                <c:pt idx="21">
                  <c:v>1108701</c:v>
                </c:pt>
                <c:pt idx="22">
                  <c:v>1294467</c:v>
                </c:pt>
                <c:pt idx="23">
                  <c:v>1371075</c:v>
                </c:pt>
                <c:pt idx="24">
                  <c:v>1089902</c:v>
                </c:pt>
                <c:pt idx="25">
                  <c:v>1000446</c:v>
                </c:pt>
                <c:pt idx="26">
                  <c:v>1144517</c:v>
                </c:pt>
                <c:pt idx="27">
                  <c:v>805058</c:v>
                </c:pt>
                <c:pt idx="28">
                  <c:v>828678</c:v>
                </c:pt>
                <c:pt idx="29">
                  <c:v>797909</c:v>
                </c:pt>
                <c:pt idx="30">
                  <c:v>1133947</c:v>
                </c:pt>
                <c:pt idx="31">
                  <c:v>1271341</c:v>
                </c:pt>
                <c:pt idx="32">
                  <c:v>882558</c:v>
                </c:pt>
                <c:pt idx="33">
                  <c:v>764832</c:v>
                </c:pt>
                <c:pt idx="34">
                  <c:v>874474</c:v>
                </c:pt>
                <c:pt idx="35">
                  <c:v>573610</c:v>
                </c:pt>
                <c:pt idx="36">
                  <c:v>759365</c:v>
                </c:pt>
              </c:numCache>
            </c:numRef>
          </c:yVal>
        </c:ser>
        <c:ser>
          <c:idx val="4"/>
          <c:order val="4"/>
          <c:tx>
            <c:strRef>
              <c:f>'Table3-CAA'!$F$3</c:f>
              <c:strCache>
                <c:ptCount val="1"/>
                <c:pt idx="0">
                  <c:v>AGE 4</c:v>
                </c:pt>
              </c:strCache>
            </c:strRef>
          </c:tx>
          <c:xVal>
            <c:numRef>
              <c:f>'Table3-CAA'!$A$4:$A$98</c:f>
              <c:numCache>
                <c:formatCode>General</c:formatCode>
                <c:ptCount val="95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'Table3-CAA'!$F$4:$F$98</c:f>
              <c:numCache>
                <c:formatCode>General</c:formatCode>
                <c:ptCount val="95"/>
                <c:pt idx="0">
                  <c:v>335068</c:v>
                </c:pt>
                <c:pt idx="1">
                  <c:v>293744</c:v>
                </c:pt>
                <c:pt idx="2">
                  <c:v>289931</c:v>
                </c:pt>
                <c:pt idx="3">
                  <c:v>370436</c:v>
                </c:pt>
                <c:pt idx="4">
                  <c:v>403301</c:v>
                </c:pt>
                <c:pt idx="5">
                  <c:v>602660</c:v>
                </c:pt>
                <c:pt idx="6">
                  <c:v>547868</c:v>
                </c:pt>
                <c:pt idx="7">
                  <c:v>504842</c:v>
                </c:pt>
                <c:pt idx="8">
                  <c:v>441937</c:v>
                </c:pt>
                <c:pt idx="9">
                  <c:v>537482</c:v>
                </c:pt>
                <c:pt idx="10">
                  <c:v>532110</c:v>
                </c:pt>
                <c:pt idx="11">
                  <c:v>810154</c:v>
                </c:pt>
                <c:pt idx="12">
                  <c:v>710570</c:v>
                </c:pt>
                <c:pt idx="13">
                  <c:v>704840</c:v>
                </c:pt>
                <c:pt idx="14">
                  <c:v>211065</c:v>
                </c:pt>
                <c:pt idx="15">
                  <c:v>738008</c:v>
                </c:pt>
                <c:pt idx="16">
                  <c:v>586169</c:v>
                </c:pt>
                <c:pt idx="17">
                  <c:v>652139</c:v>
                </c:pt>
                <c:pt idx="18">
                  <c:v>479093</c:v>
                </c:pt>
                <c:pt idx="19">
                  <c:v>945449</c:v>
                </c:pt>
                <c:pt idx="20">
                  <c:v>1052048</c:v>
                </c:pt>
                <c:pt idx="21">
                  <c:v>832673</c:v>
                </c:pt>
                <c:pt idx="22">
                  <c:v>780051</c:v>
                </c:pt>
                <c:pt idx="23">
                  <c:v>745384</c:v>
                </c:pt>
                <c:pt idx="24">
                  <c:v>762615</c:v>
                </c:pt>
                <c:pt idx="25">
                  <c:v>724878</c:v>
                </c:pt>
                <c:pt idx="26">
                  <c:v>699652</c:v>
                </c:pt>
                <c:pt idx="27">
                  <c:v>697640</c:v>
                </c:pt>
                <c:pt idx="28">
                  <c:v>716679</c:v>
                </c:pt>
                <c:pt idx="29">
                  <c:v>524019</c:v>
                </c:pt>
                <c:pt idx="30">
                  <c:v>475691</c:v>
                </c:pt>
                <c:pt idx="31">
                  <c:v>534448</c:v>
                </c:pt>
                <c:pt idx="32">
                  <c:v>613958</c:v>
                </c:pt>
                <c:pt idx="33">
                  <c:v>507098</c:v>
                </c:pt>
                <c:pt idx="34">
                  <c:v>360014</c:v>
                </c:pt>
                <c:pt idx="35">
                  <c:v>446518</c:v>
                </c:pt>
                <c:pt idx="36">
                  <c:v>382044</c:v>
                </c:pt>
              </c:numCache>
            </c:numRef>
          </c:yVal>
        </c:ser>
        <c:ser>
          <c:idx val="5"/>
          <c:order val="5"/>
          <c:tx>
            <c:strRef>
              <c:f>'Table3-CAA'!$G$3</c:f>
              <c:strCache>
                <c:ptCount val="1"/>
                <c:pt idx="0">
                  <c:v>AGE 5</c:v>
                </c:pt>
              </c:strCache>
            </c:strRef>
          </c:tx>
          <c:xVal>
            <c:numRef>
              <c:f>'Table3-CAA'!$A$4:$A$98</c:f>
              <c:numCache>
                <c:formatCode>General</c:formatCode>
                <c:ptCount val="95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'Table3-CAA'!$G$4:$G$98</c:f>
              <c:numCache>
                <c:formatCode>General</c:formatCode>
                <c:ptCount val="95"/>
                <c:pt idx="0">
                  <c:v>85575</c:v>
                </c:pt>
                <c:pt idx="1">
                  <c:v>72602</c:v>
                </c:pt>
                <c:pt idx="2">
                  <c:v>91172</c:v>
                </c:pt>
                <c:pt idx="3">
                  <c:v>103603</c:v>
                </c:pt>
                <c:pt idx="4">
                  <c:v>115146</c:v>
                </c:pt>
                <c:pt idx="5">
                  <c:v>162022</c:v>
                </c:pt>
                <c:pt idx="6">
                  <c:v>148267</c:v>
                </c:pt>
                <c:pt idx="7">
                  <c:v>105140</c:v>
                </c:pt>
                <c:pt idx="8">
                  <c:v>60903</c:v>
                </c:pt>
                <c:pt idx="9">
                  <c:v>73775</c:v>
                </c:pt>
                <c:pt idx="10">
                  <c:v>83719</c:v>
                </c:pt>
                <c:pt idx="11">
                  <c:v>139639</c:v>
                </c:pt>
                <c:pt idx="12">
                  <c:v>142131</c:v>
                </c:pt>
                <c:pt idx="13">
                  <c:v>128569</c:v>
                </c:pt>
                <c:pt idx="14">
                  <c:v>30274</c:v>
                </c:pt>
                <c:pt idx="15">
                  <c:v>69106</c:v>
                </c:pt>
                <c:pt idx="16">
                  <c:v>68951</c:v>
                </c:pt>
                <c:pt idx="17">
                  <c:v>65881</c:v>
                </c:pt>
                <c:pt idx="18">
                  <c:v>44092</c:v>
                </c:pt>
                <c:pt idx="19">
                  <c:v>121843</c:v>
                </c:pt>
                <c:pt idx="20">
                  <c:v>177816</c:v>
                </c:pt>
                <c:pt idx="21">
                  <c:v>126849</c:v>
                </c:pt>
                <c:pt idx="22">
                  <c:v>124612</c:v>
                </c:pt>
                <c:pt idx="23">
                  <c:v>81507</c:v>
                </c:pt>
                <c:pt idx="24">
                  <c:v>100493</c:v>
                </c:pt>
                <c:pt idx="25">
                  <c:v>82982</c:v>
                </c:pt>
                <c:pt idx="26">
                  <c:v>77460</c:v>
                </c:pt>
                <c:pt idx="27">
                  <c:v>81796</c:v>
                </c:pt>
                <c:pt idx="28">
                  <c:v>132870</c:v>
                </c:pt>
                <c:pt idx="29">
                  <c:v>96085</c:v>
                </c:pt>
                <c:pt idx="30">
                  <c:v>100301</c:v>
                </c:pt>
                <c:pt idx="31">
                  <c:v>117632</c:v>
                </c:pt>
                <c:pt idx="32">
                  <c:v>76429</c:v>
                </c:pt>
                <c:pt idx="33">
                  <c:v>107459</c:v>
                </c:pt>
                <c:pt idx="34">
                  <c:v>114175</c:v>
                </c:pt>
                <c:pt idx="35">
                  <c:v>86079</c:v>
                </c:pt>
                <c:pt idx="36">
                  <c:v>98240</c:v>
                </c:pt>
              </c:numCache>
            </c:numRef>
          </c:yVal>
        </c:ser>
        <c:ser>
          <c:idx val="6"/>
          <c:order val="6"/>
          <c:tx>
            <c:strRef>
              <c:f>'Table3-CAA'!$H$3</c:f>
              <c:strCache>
                <c:ptCount val="1"/>
                <c:pt idx="0">
                  <c:v>AGE 6</c:v>
                </c:pt>
              </c:strCache>
            </c:strRef>
          </c:tx>
          <c:xVal>
            <c:numRef>
              <c:f>'Table3-CAA'!$A$4:$A$98</c:f>
              <c:numCache>
                <c:formatCode>General</c:formatCode>
                <c:ptCount val="95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'Table3-CAA'!$H$4:$H$98</c:f>
              <c:numCache>
                <c:formatCode>General</c:formatCode>
                <c:ptCount val="95"/>
              </c:numCache>
            </c:numRef>
          </c:yVal>
        </c:ser>
        <c:ser>
          <c:idx val="7"/>
          <c:order val="7"/>
          <c:tx>
            <c:strRef>
              <c:f>'Table3-CAA'!$I$3</c:f>
              <c:strCache>
                <c:ptCount val="1"/>
                <c:pt idx="0">
                  <c:v>AGE 7</c:v>
                </c:pt>
              </c:strCache>
            </c:strRef>
          </c:tx>
          <c:xVal>
            <c:numRef>
              <c:f>'Table3-CAA'!$A$4:$A$98</c:f>
              <c:numCache>
                <c:formatCode>General</c:formatCode>
                <c:ptCount val="95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'Table3-CAA'!$I$4:$I$98</c:f>
              <c:numCache>
                <c:formatCode>General</c:formatCode>
                <c:ptCount val="95"/>
              </c:numCache>
            </c:numRef>
          </c:yVal>
        </c:ser>
        <c:ser>
          <c:idx val="8"/>
          <c:order val="8"/>
          <c:tx>
            <c:strRef>
              <c:f>'Table3-CAA'!$J$3</c:f>
              <c:strCache>
                <c:ptCount val="1"/>
                <c:pt idx="0">
                  <c:v>AGE 8</c:v>
                </c:pt>
              </c:strCache>
            </c:strRef>
          </c:tx>
          <c:xVal>
            <c:numRef>
              <c:f>'Table3-CAA'!$A$4:$A$98</c:f>
              <c:numCache>
                <c:formatCode>General</c:formatCode>
                <c:ptCount val="95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'Table3-CAA'!$J$4:$J$98</c:f>
              <c:numCache>
                <c:formatCode>General</c:formatCode>
                <c:ptCount val="95"/>
              </c:numCache>
            </c:numRef>
          </c:yVal>
        </c:ser>
        <c:ser>
          <c:idx val="9"/>
          <c:order val="9"/>
          <c:tx>
            <c:strRef>
              <c:f>'Table3-CAA'!$K$3</c:f>
              <c:strCache>
                <c:ptCount val="1"/>
                <c:pt idx="0">
                  <c:v>AGE 9</c:v>
                </c:pt>
              </c:strCache>
            </c:strRef>
          </c:tx>
          <c:xVal>
            <c:numRef>
              <c:f>'Table3-CAA'!$A$4:$A$98</c:f>
              <c:numCache>
                <c:formatCode>General</c:formatCode>
                <c:ptCount val="95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'Table3-CAA'!$K$4:$K$98</c:f>
              <c:numCache>
                <c:formatCode>General</c:formatCode>
                <c:ptCount val="95"/>
              </c:numCache>
            </c:numRef>
          </c:yVal>
        </c:ser>
        <c:axId val="238013440"/>
        <c:axId val="238023808"/>
      </c:scatterChart>
      <c:valAx>
        <c:axId val="238013440"/>
        <c:scaling>
          <c:orientation val="minMax"/>
          <c:max val="2011"/>
          <c:min val="196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7249265601716728"/>
              <c:y val="0.88592338004799698"/>
            </c:manualLayout>
          </c:layout>
        </c:title>
        <c:numFmt formatCode="General" sourceLinked="1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38023808"/>
        <c:crosses val="autoZero"/>
        <c:crossBetween val="midCat"/>
        <c:majorUnit val="5"/>
        <c:minorUnit val="3.8539999999999988"/>
      </c:valAx>
      <c:valAx>
        <c:axId val="23802380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Catch</a:t>
                </a:r>
              </a:p>
            </c:rich>
          </c:tx>
          <c:layout>
            <c:manualLayout>
              <c:xMode val="edge"/>
              <c:yMode val="edge"/>
              <c:x val="2.589000854888588E-2"/>
              <c:y val="0.390777162158159"/>
            </c:manualLayout>
          </c:layout>
        </c:title>
        <c:numFmt formatCode="0.0" sourceLinked="0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01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68621480300411"/>
          <c:y val="1.2135936712986279E-2"/>
          <c:w val="0.16019442789623181"/>
          <c:h val="0.9805836864092915"/>
        </c:manualLayout>
      </c:layout>
    </c:legend>
    <c:plotVisOnly val="1"/>
    <c:dispBlanksAs val="gap"/>
  </c:chart>
  <c:printSettings>
    <c:headerFooter alignWithMargins="0"/>
    <c:pageMargins b="1" l="0.75000000000000155" r="0.7500000000000015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"/>
  <c:chart>
    <c:title>
      <c:tx>
        <c:strRef>
          <c:f>'Titles and Variables'!$I$13:$J$13</c:f>
          <c:strCache>
            <c:ptCount val="1"/>
            <c:pt idx="0">
              <c:v>ATL Total Catch</c:v>
            </c:pt>
          </c:strCache>
        </c:strRef>
      </c:tx>
      <c:layout>
        <c:manualLayout>
          <c:xMode val="edge"/>
          <c:yMode val="edge"/>
          <c:x val="0.36187427576159042"/>
          <c:y val="3.1476997578692628E-2"/>
        </c:manualLayout>
      </c:layout>
    </c:title>
    <c:plotArea>
      <c:layout>
        <c:manualLayout>
          <c:layoutTarget val="inner"/>
          <c:xMode val="edge"/>
          <c:yMode val="edge"/>
          <c:x val="0.2390955036281929"/>
          <c:y val="0.19128329297820823"/>
          <c:w val="0.58804569811258411"/>
          <c:h val="0.5447941888619855"/>
        </c:manualLayout>
      </c:layout>
      <c:scatterChart>
        <c:scatterStyle val="lineMarker"/>
        <c:ser>
          <c:idx val="0"/>
          <c:order val="0"/>
          <c:tx>
            <c:strRef>
              <c:f>'Table3-CAA'!$AF$3</c:f>
              <c:strCache>
                <c:ptCount val="1"/>
                <c:pt idx="0">
                  <c:v>sum</c:v>
                </c:pt>
              </c:strCache>
            </c:strRef>
          </c:tx>
          <c:xVal>
            <c:numRef>
              <c:f>'Table3-CAA'!$A$4:$A$100</c:f>
              <c:numCache>
                <c:formatCode>General</c:formatCode>
                <c:ptCount val="9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'Table3-CAA'!$AF$4:$AF$100</c:f>
              <c:numCache>
                <c:formatCode>General</c:formatCode>
                <c:ptCount val="97"/>
                <c:pt idx="0">
                  <c:v>4269085</c:v>
                </c:pt>
                <c:pt idx="1">
                  <c:v>4449654</c:v>
                </c:pt>
                <c:pt idx="2">
                  <c:v>5083511</c:v>
                </c:pt>
                <c:pt idx="3">
                  <c:v>4357468</c:v>
                </c:pt>
                <c:pt idx="4">
                  <c:v>6074867</c:v>
                </c:pt>
                <c:pt idx="5">
                  <c:v>7978960</c:v>
                </c:pt>
                <c:pt idx="6">
                  <c:v>8771210</c:v>
                </c:pt>
                <c:pt idx="7">
                  <c:v>8837567</c:v>
                </c:pt>
                <c:pt idx="8">
                  <c:v>8879396</c:v>
                </c:pt>
                <c:pt idx="9">
                  <c:v>8594485</c:v>
                </c:pt>
                <c:pt idx="10">
                  <c:v>10052208</c:v>
                </c:pt>
                <c:pt idx="11">
                  <c:v>14176040</c:v>
                </c:pt>
                <c:pt idx="12">
                  <c:v>12904602</c:v>
                </c:pt>
                <c:pt idx="13">
                  <c:v>12809049</c:v>
                </c:pt>
                <c:pt idx="14">
                  <c:v>12903832</c:v>
                </c:pt>
                <c:pt idx="15">
                  <c:v>12342374</c:v>
                </c:pt>
                <c:pt idx="16">
                  <c:v>11381796</c:v>
                </c:pt>
                <c:pt idx="17">
                  <c:v>13886302</c:v>
                </c:pt>
                <c:pt idx="18">
                  <c:v>13086647</c:v>
                </c:pt>
                <c:pt idx="19">
                  <c:v>13210679</c:v>
                </c:pt>
                <c:pt idx="20">
                  <c:v>16311791</c:v>
                </c:pt>
                <c:pt idx="21">
                  <c:v>15064452</c:v>
                </c:pt>
                <c:pt idx="22">
                  <c:v>14635322</c:v>
                </c:pt>
                <c:pt idx="23">
                  <c:v>17763301</c:v>
                </c:pt>
                <c:pt idx="24">
                  <c:v>15577594</c:v>
                </c:pt>
                <c:pt idx="25">
                  <c:v>13452729</c:v>
                </c:pt>
                <c:pt idx="26">
                  <c:v>14096886</c:v>
                </c:pt>
                <c:pt idx="27">
                  <c:v>13835643</c:v>
                </c:pt>
                <c:pt idx="28">
                  <c:v>15437926</c:v>
                </c:pt>
                <c:pt idx="29">
                  <c:v>20929288</c:v>
                </c:pt>
                <c:pt idx="30">
                  <c:v>17226149</c:v>
                </c:pt>
                <c:pt idx="31">
                  <c:v>21030870</c:v>
                </c:pt>
                <c:pt idx="32">
                  <c:v>17815717</c:v>
                </c:pt>
                <c:pt idx="33">
                  <c:v>16469065</c:v>
                </c:pt>
                <c:pt idx="34">
                  <c:v>15419018</c:v>
                </c:pt>
                <c:pt idx="35">
                  <c:v>14591479</c:v>
                </c:pt>
                <c:pt idx="36">
                  <c:v>11026826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</c:numCache>
            </c:numRef>
          </c:yVal>
        </c:ser>
        <c:axId val="238052480"/>
        <c:axId val="238054400"/>
      </c:scatterChart>
      <c:valAx>
        <c:axId val="238052480"/>
        <c:scaling>
          <c:orientation val="minMax"/>
          <c:max val="2011"/>
          <c:min val="196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434610885288643"/>
              <c:y val="0.88619854721549662"/>
            </c:manualLayout>
          </c:layout>
        </c:title>
        <c:numFmt formatCode="General" sourceLinked="1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38054400"/>
        <c:crosses val="autoZero"/>
        <c:crossBetween val="midCat"/>
        <c:majorUnit val="5"/>
        <c:minorUnit val="3.8539999999999988"/>
      </c:valAx>
      <c:valAx>
        <c:axId val="23805440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Catch</a:t>
                </a:r>
              </a:p>
            </c:rich>
          </c:tx>
          <c:layout>
            <c:manualLayout>
              <c:xMode val="edge"/>
              <c:yMode val="edge"/>
              <c:x val="2.5848162554399316E-2"/>
              <c:y val="0.38983050847457712"/>
            </c:manualLayout>
          </c:layout>
        </c:title>
        <c:numFmt formatCode="0.0" sourceLinked="0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052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075997605132593"/>
          <c:y val="0.4334140435835353"/>
          <c:w val="0.11631673149479645"/>
          <c:h val="6.0532687651332039E-2"/>
        </c:manualLayout>
      </c:layout>
    </c:legend>
    <c:plotVisOnly val="1"/>
    <c:dispBlanksAs val="gap"/>
  </c:chart>
  <c:printSettings>
    <c:headerFooter alignWithMargins="0"/>
    <c:pageMargins b="1" l="0.75000000000000155" r="0.7500000000000015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'Titles and Variables'!$I$14:$J$14</c:f>
          <c:strCache>
            <c:ptCount val="1"/>
            <c:pt idx="0">
              <c:v>ATL Spawning Biomass</c:v>
            </c:pt>
          </c:strCache>
        </c:strRef>
      </c:tx>
      <c:layout>
        <c:manualLayout>
          <c:xMode val="edge"/>
          <c:yMode val="edge"/>
          <c:x val="0.29569944223832673"/>
          <c:y val="3.155343545376444E-2"/>
        </c:manualLayout>
      </c:layout>
    </c:title>
    <c:plotArea>
      <c:layout>
        <c:manualLayout>
          <c:layoutTarget val="inner"/>
          <c:xMode val="edge"/>
          <c:yMode val="edge"/>
          <c:x val="0.21505413980969298"/>
          <c:y val="0.19174780006518324"/>
          <c:w val="0.61290429845762362"/>
          <c:h val="0.54611715208438272"/>
        </c:manualLayout>
      </c:layout>
      <c:scatterChart>
        <c:scatterStyle val="lineMarker"/>
        <c:ser>
          <c:idx val="0"/>
          <c:order val="0"/>
          <c:tx>
            <c:strRef>
              <c:f>'Table4-SSB-R'!$B$3</c:f>
              <c:strCache>
                <c:ptCount val="1"/>
                <c:pt idx="0">
                  <c:v>Spawning Biomass</c:v>
                </c:pt>
              </c:strCache>
            </c:strRef>
          </c:tx>
          <c:xVal>
            <c:numRef>
              <c:f>'Table4-SSB-R'!$A$4:$A$100</c:f>
              <c:numCache>
                <c:formatCode>General</c:formatCode>
                <c:ptCount val="9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'Table4-SSB-R'!$B$4:$B$100</c:f>
              <c:numCache>
                <c:formatCode>General</c:formatCode>
                <c:ptCount val="97"/>
                <c:pt idx="0">
                  <c:v>561585</c:v>
                </c:pt>
                <c:pt idx="1">
                  <c:v>518434</c:v>
                </c:pt>
                <c:pt idx="2">
                  <c:v>494663</c:v>
                </c:pt>
                <c:pt idx="3">
                  <c:v>456104</c:v>
                </c:pt>
                <c:pt idx="4">
                  <c:v>423272</c:v>
                </c:pt>
                <c:pt idx="5">
                  <c:v>372215</c:v>
                </c:pt>
                <c:pt idx="6">
                  <c:v>324789</c:v>
                </c:pt>
                <c:pt idx="7">
                  <c:v>320723</c:v>
                </c:pt>
                <c:pt idx="8">
                  <c:v>350108</c:v>
                </c:pt>
                <c:pt idx="9">
                  <c:v>371716</c:v>
                </c:pt>
                <c:pt idx="10">
                  <c:v>373204</c:v>
                </c:pt>
                <c:pt idx="11">
                  <c:v>341488</c:v>
                </c:pt>
                <c:pt idx="12">
                  <c:v>295849</c:v>
                </c:pt>
                <c:pt idx="13">
                  <c:v>242162</c:v>
                </c:pt>
                <c:pt idx="14">
                  <c:v>242474</c:v>
                </c:pt>
                <c:pt idx="15">
                  <c:v>268102</c:v>
                </c:pt>
                <c:pt idx="16">
                  <c:v>286202</c:v>
                </c:pt>
                <c:pt idx="17">
                  <c:v>305471</c:v>
                </c:pt>
                <c:pt idx="18">
                  <c:v>350668</c:v>
                </c:pt>
                <c:pt idx="19">
                  <c:v>356119</c:v>
                </c:pt>
                <c:pt idx="20">
                  <c:v>316228</c:v>
                </c:pt>
                <c:pt idx="21">
                  <c:v>258999</c:v>
                </c:pt>
                <c:pt idx="22">
                  <c:v>243408</c:v>
                </c:pt>
                <c:pt idx="23">
                  <c:v>230968</c:v>
                </c:pt>
                <c:pt idx="24">
                  <c:v>216134</c:v>
                </c:pt>
                <c:pt idx="25">
                  <c:v>212593</c:v>
                </c:pt>
                <c:pt idx="26">
                  <c:v>228778</c:v>
                </c:pt>
                <c:pt idx="27">
                  <c:v>221277</c:v>
                </c:pt>
                <c:pt idx="28">
                  <c:v>209692</c:v>
                </c:pt>
                <c:pt idx="29">
                  <c:v>192655</c:v>
                </c:pt>
                <c:pt idx="30">
                  <c:v>197073</c:v>
                </c:pt>
                <c:pt idx="31">
                  <c:v>226847</c:v>
                </c:pt>
                <c:pt idx="32">
                  <c:v>225377</c:v>
                </c:pt>
                <c:pt idx="33">
                  <c:v>200465</c:v>
                </c:pt>
                <c:pt idx="34">
                  <c:v>195304</c:v>
                </c:pt>
                <c:pt idx="35">
                  <c:v>174047</c:v>
                </c:pt>
                <c:pt idx="36">
                  <c:v>169908</c:v>
                </c:pt>
              </c:numCache>
            </c:numRef>
          </c:yVal>
        </c:ser>
        <c:axId val="238177664"/>
        <c:axId val="238192128"/>
      </c:scatterChart>
      <c:valAx>
        <c:axId val="23817766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7849546107656582"/>
              <c:y val="0.88835056739059581"/>
            </c:manualLayout>
          </c:layout>
        </c:title>
        <c:numFmt formatCode="General" sourceLinked="1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38192128"/>
        <c:crosses val="autoZero"/>
        <c:crossBetween val="midCat"/>
        <c:majorUnit val="5"/>
        <c:minorUnit val="3.8539999999999988"/>
      </c:valAx>
      <c:valAx>
        <c:axId val="23819212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Spawning Biomass</a:t>
                </a:r>
              </a:p>
            </c:rich>
          </c:tx>
          <c:layout>
            <c:manualLayout>
              <c:xMode val="edge"/>
              <c:yMode val="edge"/>
              <c:x val="2.6881767476211724E-2"/>
              <c:y val="0.24029154691712881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177664"/>
        <c:crosses val="autoZero"/>
        <c:crossBetween val="midCat"/>
      </c:valAx>
    </c:plotArea>
    <c:plotVisOnly val="1"/>
    <c:dispBlanksAs val="gap"/>
  </c:chart>
  <c:printSettings>
    <c:headerFooter alignWithMargins="0"/>
    <c:pageMargins b="1" l="0.75000000000000155" r="0.7500000000000015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'Titles and Variables'!$I$15:$J$15</c:f>
          <c:strCache>
            <c:ptCount val="1"/>
            <c:pt idx="0">
              <c:v>ATL Recruitment</c:v>
            </c:pt>
          </c:strCache>
        </c:strRef>
      </c:tx>
      <c:layout>
        <c:manualLayout>
          <c:xMode val="edge"/>
          <c:yMode val="edge"/>
          <c:x val="0.34883751400861784"/>
          <c:y val="3.1476997578692628E-2"/>
        </c:manualLayout>
      </c:layout>
    </c:title>
    <c:plotArea>
      <c:layout>
        <c:manualLayout>
          <c:layoutTarget val="inner"/>
          <c:xMode val="edge"/>
          <c:yMode val="edge"/>
          <c:x val="0.23255834267241246"/>
          <c:y val="0.19370460048426186"/>
          <c:w val="0.593918228978775"/>
          <c:h val="0.5447941888619855"/>
        </c:manualLayout>
      </c:layout>
      <c:scatterChart>
        <c:scatterStyle val="lineMarker"/>
        <c:ser>
          <c:idx val="0"/>
          <c:order val="0"/>
          <c:tx>
            <c:strRef>
              <c:f>'Table4-SSB-R'!$C$3</c:f>
              <c:strCache>
                <c:ptCount val="1"/>
                <c:pt idx="0">
                  <c:v>Recruits from VPA</c:v>
                </c:pt>
              </c:strCache>
            </c:strRef>
          </c:tx>
          <c:xVal>
            <c:numRef>
              <c:f>'Table4-SSB-R'!$A$4:$A$100</c:f>
              <c:numCache>
                <c:formatCode>General</c:formatCode>
                <c:ptCount val="9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'Table4-SSB-R'!$C$4:$C$100</c:f>
              <c:numCache>
                <c:formatCode>General</c:formatCode>
                <c:ptCount val="97"/>
                <c:pt idx="0">
                  <c:v>63352372</c:v>
                </c:pt>
                <c:pt idx="1">
                  <c:v>61890946</c:v>
                </c:pt>
                <c:pt idx="2">
                  <c:v>53128261</c:v>
                </c:pt>
                <c:pt idx="3">
                  <c:v>58625271</c:v>
                </c:pt>
                <c:pt idx="4">
                  <c:v>66463128</c:v>
                </c:pt>
                <c:pt idx="5">
                  <c:v>79317169</c:v>
                </c:pt>
                <c:pt idx="6">
                  <c:v>80849812</c:v>
                </c:pt>
                <c:pt idx="7">
                  <c:v>69990642</c:v>
                </c:pt>
                <c:pt idx="8">
                  <c:v>62370073</c:v>
                </c:pt>
                <c:pt idx="9">
                  <c:v>64836350</c:v>
                </c:pt>
                <c:pt idx="10">
                  <c:v>60450918</c:v>
                </c:pt>
                <c:pt idx="11">
                  <c:v>85424802</c:v>
                </c:pt>
                <c:pt idx="12">
                  <c:v>71019816</c:v>
                </c:pt>
                <c:pt idx="13">
                  <c:v>90700309</c:v>
                </c:pt>
                <c:pt idx="14">
                  <c:v>76131793</c:v>
                </c:pt>
                <c:pt idx="15">
                  <c:v>87534083</c:v>
                </c:pt>
                <c:pt idx="16">
                  <c:v>75994547</c:v>
                </c:pt>
                <c:pt idx="17">
                  <c:v>76716378</c:v>
                </c:pt>
                <c:pt idx="18">
                  <c:v>64846503</c:v>
                </c:pt>
                <c:pt idx="19">
                  <c:v>77203682</c:v>
                </c:pt>
                <c:pt idx="20">
                  <c:v>76037148</c:v>
                </c:pt>
                <c:pt idx="21">
                  <c:v>72784090</c:v>
                </c:pt>
                <c:pt idx="22">
                  <c:v>78287429</c:v>
                </c:pt>
                <c:pt idx="23">
                  <c:v>85357863</c:v>
                </c:pt>
                <c:pt idx="24">
                  <c:v>66046971</c:v>
                </c:pt>
                <c:pt idx="25">
                  <c:v>64342847</c:v>
                </c:pt>
                <c:pt idx="26">
                  <c:v>65509933</c:v>
                </c:pt>
                <c:pt idx="27">
                  <c:v>75340574</c:v>
                </c:pt>
                <c:pt idx="28">
                  <c:v>98003055</c:v>
                </c:pt>
                <c:pt idx="29">
                  <c:v>73336903</c:v>
                </c:pt>
                <c:pt idx="30">
                  <c:v>75325217</c:v>
                </c:pt>
                <c:pt idx="31">
                  <c:v>74596913</c:v>
                </c:pt>
                <c:pt idx="32">
                  <c:v>63752837</c:v>
                </c:pt>
                <c:pt idx="33">
                  <c:v>60786265</c:v>
                </c:pt>
                <c:pt idx="34">
                  <c:v>72462957</c:v>
                </c:pt>
                <c:pt idx="35">
                  <c:v>76513359</c:v>
                </c:pt>
                <c:pt idx="36">
                  <c:v>77510633</c:v>
                </c:pt>
              </c:numCache>
            </c:numRef>
          </c:yVal>
        </c:ser>
        <c:axId val="238220416"/>
        <c:axId val="238222336"/>
      </c:scatterChart>
      <c:valAx>
        <c:axId val="23822041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8658360928381711"/>
              <c:y val="0.8886198547215497"/>
            </c:manualLayout>
          </c:layout>
        </c:title>
        <c:numFmt formatCode="General" sourceLinked="1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38222336"/>
        <c:crosses val="autoZero"/>
        <c:crossBetween val="midCat"/>
        <c:majorUnit val="5"/>
        <c:minorUnit val="3.8539999999999988"/>
      </c:valAx>
      <c:valAx>
        <c:axId val="23822233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Recuits</a:t>
                </a:r>
              </a:p>
            </c:rich>
          </c:tx>
          <c:layout>
            <c:manualLayout>
              <c:xMode val="edge"/>
              <c:yMode val="edge"/>
              <c:x val="2.5044744595490512E-2"/>
              <c:y val="0.3753026634382583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220416"/>
        <c:crosses val="autoZero"/>
        <c:crossBetween val="midCat"/>
      </c:valAx>
    </c:plotArea>
    <c:plotVisOnly val="1"/>
    <c:dispBlanksAs val="gap"/>
  </c:chart>
  <c:printSettings>
    <c:headerFooter alignWithMargins="0"/>
    <c:pageMargins b="1" l="0.75000000000000155" r="0.7500000000000015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'Indices-Reg1'!$D$1:$F$1</c:f>
          <c:strCache>
            <c:ptCount val="1"/>
            <c:pt idx="0">
              <c:v>ATL BRA_BB</c:v>
            </c:pt>
          </c:strCache>
        </c:strRef>
      </c:tx>
      <c:layout>
        <c:manualLayout>
          <c:xMode val="edge"/>
          <c:yMode val="edge"/>
          <c:x val="0.35654596100278646"/>
          <c:y val="7.5709779179810754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7995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'Indices-Reg1'!$D$12:$D$100</c:f>
              <c:numCache>
                <c:formatCode>General</c:formatCode>
                <c:ptCount val="89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</c:numCache>
            </c:numRef>
          </c:xVal>
          <c:yVal>
            <c:numRef>
              <c:f>'Indices-Reg1'!$J$12:$J$100</c:f>
              <c:numCache>
                <c:formatCode>General</c:formatCode>
                <c:ptCount val="89"/>
                <c:pt idx="0">
                  <c:v>1.391</c:v>
                </c:pt>
                <c:pt idx="1">
                  <c:v>0.21199999999999999</c:v>
                </c:pt>
                <c:pt idx="2">
                  <c:v>0.57599999999999996</c:v>
                </c:pt>
                <c:pt idx="3">
                  <c:v>0.28000000000000003</c:v>
                </c:pt>
                <c:pt idx="4">
                  <c:v>0.20899999999999999</c:v>
                </c:pt>
                <c:pt idx="5">
                  <c:v>0.20899999999999999</c:v>
                </c:pt>
                <c:pt idx="6">
                  <c:v>0.29499999999999998</c:v>
                </c:pt>
                <c:pt idx="7">
                  <c:v>0.32700000000000001</c:v>
                </c:pt>
                <c:pt idx="8">
                  <c:v>0.29899999999999999</c:v>
                </c:pt>
                <c:pt idx="9">
                  <c:v>0.62</c:v>
                </c:pt>
                <c:pt idx="10">
                  <c:v>0.187</c:v>
                </c:pt>
                <c:pt idx="11">
                  <c:v>0.29499999999999998</c:v>
                </c:pt>
                <c:pt idx="12">
                  <c:v>0.35</c:v>
                </c:pt>
                <c:pt idx="13">
                  <c:v>0.21</c:v>
                </c:pt>
                <c:pt idx="14">
                  <c:v>0.104</c:v>
                </c:pt>
                <c:pt idx="15">
                  <c:v>0.28899999999999998</c:v>
                </c:pt>
                <c:pt idx="16">
                  <c:v>0.42199999999999999</c:v>
                </c:pt>
                <c:pt idx="17">
                  <c:v>0.32300000000000001</c:v>
                </c:pt>
                <c:pt idx="18">
                  <c:v>0.112</c:v>
                </c:pt>
                <c:pt idx="19">
                  <c:v>0.68100000000000005</c:v>
                </c:pt>
                <c:pt idx="20">
                  <c:v>0.29099999999999998</c:v>
                </c:pt>
                <c:pt idx="21">
                  <c:v>0.23799999999999999</c:v>
                </c:pt>
                <c:pt idx="22">
                  <c:v>9.0999999999999998E-2</c:v>
                </c:pt>
                <c:pt idx="23">
                  <c:v>0.10299999999999999</c:v>
                </c:pt>
                <c:pt idx="24">
                  <c:v>0.376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'Indices-Reg1'!$D$12:$D$100</c:f>
              <c:numCache>
                <c:formatCode>General</c:formatCode>
                <c:ptCount val="89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</c:numCache>
            </c:numRef>
          </c:xVal>
          <c:yVal>
            <c:numRef>
              <c:f>'Indices-Reg1'!$K$12:$K$100</c:f>
              <c:numCache>
                <c:formatCode>General</c:formatCode>
                <c:ptCount val="89"/>
                <c:pt idx="0">
                  <c:v>0.27700000000000002</c:v>
                </c:pt>
                <c:pt idx="1">
                  <c:v>0.27100000000000002</c:v>
                </c:pt>
                <c:pt idx="2">
                  <c:v>0.34100000000000003</c:v>
                </c:pt>
                <c:pt idx="3">
                  <c:v>0.32800000000000001</c:v>
                </c:pt>
                <c:pt idx="4">
                  <c:v>0.38</c:v>
                </c:pt>
                <c:pt idx="5">
                  <c:v>0.36599999999999999</c:v>
                </c:pt>
                <c:pt idx="6">
                  <c:v>0.40400000000000003</c:v>
                </c:pt>
                <c:pt idx="7">
                  <c:v>0.36</c:v>
                </c:pt>
                <c:pt idx="8">
                  <c:v>0.33900000000000002</c:v>
                </c:pt>
                <c:pt idx="9">
                  <c:v>0.29399999999999998</c:v>
                </c:pt>
                <c:pt idx="10">
                  <c:v>0.33400000000000002</c:v>
                </c:pt>
                <c:pt idx="11">
                  <c:v>0.29799999999999999</c:v>
                </c:pt>
                <c:pt idx="12">
                  <c:v>0.24199999999999999</c:v>
                </c:pt>
                <c:pt idx="13">
                  <c:v>0.30499999999999999</c:v>
                </c:pt>
                <c:pt idx="14">
                  <c:v>0.32100000000000001</c:v>
                </c:pt>
                <c:pt idx="15">
                  <c:v>0.27600000000000002</c:v>
                </c:pt>
                <c:pt idx="16">
                  <c:v>0.254</c:v>
                </c:pt>
                <c:pt idx="17">
                  <c:v>0.22800000000000001</c:v>
                </c:pt>
                <c:pt idx="18">
                  <c:v>0.23200000000000001</c:v>
                </c:pt>
                <c:pt idx="19">
                  <c:v>0.22500000000000001</c:v>
                </c:pt>
                <c:pt idx="20">
                  <c:v>0.20699999999999999</c:v>
                </c:pt>
                <c:pt idx="21">
                  <c:v>0.20399999999999999</c:v>
                </c:pt>
                <c:pt idx="22">
                  <c:v>0.17499999999999999</c:v>
                </c:pt>
                <c:pt idx="23">
                  <c:v>0.183</c:v>
                </c:pt>
                <c:pt idx="24">
                  <c:v>0.251</c:v>
                </c:pt>
              </c:numCache>
            </c:numRef>
          </c:yVal>
        </c:ser>
        <c:axId val="240027136"/>
        <c:axId val="240029056"/>
      </c:scatterChart>
      <c:valAx>
        <c:axId val="24002713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61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0029056"/>
        <c:crosses val="autoZero"/>
        <c:crossBetween val="midCat"/>
        <c:majorUnit val="5"/>
        <c:minorUnit val="3.8539999999999988"/>
      </c:valAx>
      <c:valAx>
        <c:axId val="240029056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45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00271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46"/>
          <c:y val="0.89274447949526814"/>
          <c:w val="0.42339832869080862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'Indices-Reg1'!$D$1:$F$1</c:f>
          <c:strCache>
            <c:ptCount val="1"/>
            <c:pt idx="0">
              <c:v>ATL BRA_BB</c:v>
            </c:pt>
          </c:strCache>
        </c:strRef>
      </c:tx>
      <c:layout>
        <c:manualLayout>
          <c:xMode val="edge"/>
          <c:yMode val="edge"/>
          <c:x val="0.32402278830796893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9832429284366931"/>
          <c:y val="0.19682600702507139"/>
          <c:w val="0.68715177520482662"/>
          <c:h val="0.48571579152961275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'Indices-Reg1'!$D$12:$D$100</c:f>
              <c:numCache>
                <c:formatCode>General</c:formatCode>
                <c:ptCount val="89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</c:numCache>
            </c:numRef>
          </c:xVal>
          <c:yVal>
            <c:numRef>
              <c:f>'Indices-Reg1'!$L$12:$L$100</c:f>
              <c:numCache>
                <c:formatCode>General</c:formatCode>
                <c:ptCount val="89"/>
                <c:pt idx="0">
                  <c:v>6.5179999999999998</c:v>
                </c:pt>
                <c:pt idx="1">
                  <c:v>0.20100000000000001</c:v>
                </c:pt>
                <c:pt idx="2">
                  <c:v>3.7999999999999999E-2</c:v>
                </c:pt>
                <c:pt idx="3">
                  <c:v>0.158</c:v>
                </c:pt>
                <c:pt idx="4">
                  <c:v>0.372</c:v>
                </c:pt>
                <c:pt idx="5">
                  <c:v>0.35399999999999998</c:v>
                </c:pt>
                <c:pt idx="6">
                  <c:v>0.23400000000000001</c:v>
                </c:pt>
                <c:pt idx="7">
                  <c:v>0.129</c:v>
                </c:pt>
                <c:pt idx="8">
                  <c:v>0.14199999999999999</c:v>
                </c:pt>
                <c:pt idx="9">
                  <c:v>0.24199999999999999</c:v>
                </c:pt>
                <c:pt idx="10">
                  <c:v>0.36399999999999999</c:v>
                </c:pt>
                <c:pt idx="11">
                  <c:v>9.0999999999999998E-2</c:v>
                </c:pt>
                <c:pt idx="12">
                  <c:v>0</c:v>
                </c:pt>
                <c:pt idx="13">
                  <c:v>0.26400000000000001</c:v>
                </c:pt>
                <c:pt idx="14">
                  <c:v>0.59599999999999997</c:v>
                </c:pt>
                <c:pt idx="15">
                  <c:v>6.7000000000000004E-2</c:v>
                </c:pt>
                <c:pt idx="16">
                  <c:v>0.03</c:v>
                </c:pt>
                <c:pt idx="17">
                  <c:v>0</c:v>
                </c:pt>
                <c:pt idx="18">
                  <c:v>0.434</c:v>
                </c:pt>
                <c:pt idx="19">
                  <c:v>1.296</c:v>
                </c:pt>
                <c:pt idx="20">
                  <c:v>0</c:v>
                </c:pt>
                <c:pt idx="21">
                  <c:v>0.03</c:v>
                </c:pt>
                <c:pt idx="22">
                  <c:v>0.40300000000000002</c:v>
                </c:pt>
                <c:pt idx="23">
                  <c:v>0.36099999999999999</c:v>
                </c:pt>
                <c:pt idx="24">
                  <c:v>3.0000000000000001E-3</c:v>
                </c:pt>
              </c:numCache>
            </c:numRef>
          </c:yVal>
        </c:ser>
        <c:axId val="240045056"/>
        <c:axId val="240056576"/>
      </c:scatterChart>
      <c:valAx>
        <c:axId val="24004505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7206768296591783"/>
              <c:y val="0.8603201274805546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0056576"/>
        <c:crosses val="autoZero"/>
        <c:crossBetween val="midCat"/>
        <c:majorUnit val="5"/>
        <c:minorUnit val="3.8539999999999988"/>
      </c:valAx>
      <c:valAx>
        <c:axId val="24005657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4.7486098286512422E-2"/>
              <c:y val="0.133333746694403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0045056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'Indices-Reg1'!$D$1:$F$1</c:f>
          <c:strCache>
            <c:ptCount val="1"/>
            <c:pt idx="0">
              <c:v>ATL BRA_BB</c:v>
            </c:pt>
          </c:strCache>
        </c:strRef>
      </c:tx>
      <c:layout>
        <c:manualLayout>
          <c:xMode val="edge"/>
          <c:yMode val="edge"/>
          <c:x val="0.37883008356546094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676880222841226"/>
          <c:y val="0.20253195852075276"/>
          <c:w val="0.6713091922005594"/>
          <c:h val="0.43038041185660103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'Indices-Reg1'!$D$12:$D$100</c:f>
              <c:numCache>
                <c:formatCode>General</c:formatCode>
                <c:ptCount val="89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</c:numCache>
            </c:numRef>
          </c:xVal>
          <c:yVal>
            <c:numRef>
              <c:f>'Indices-Reg1'!$G$12:$G$100</c:f>
              <c:numCache>
                <c:formatCode>General</c:formatCode>
                <c:ptCount val="89"/>
                <c:pt idx="0">
                  <c:v>1.6140000000000001</c:v>
                </c:pt>
                <c:pt idx="1">
                  <c:v>-0.248</c:v>
                </c:pt>
                <c:pt idx="2">
                  <c:v>0.52500000000000002</c:v>
                </c:pt>
                <c:pt idx="3">
                  <c:v>-0.159</c:v>
                </c:pt>
                <c:pt idx="4">
                  <c:v>-0.59599999999999997</c:v>
                </c:pt>
                <c:pt idx="5">
                  <c:v>-0.55800000000000005</c:v>
                </c:pt>
                <c:pt idx="6">
                  <c:v>-0.315</c:v>
                </c:pt>
                <c:pt idx="7">
                  <c:v>-9.7000000000000003E-2</c:v>
                </c:pt>
                <c:pt idx="8">
                  <c:v>-0.126</c:v>
                </c:pt>
                <c:pt idx="9">
                  <c:v>0.747</c:v>
                </c:pt>
                <c:pt idx="10">
                  <c:v>-0.57899999999999996</c:v>
                </c:pt>
                <c:pt idx="11">
                  <c:v>-1.2E-2</c:v>
                </c:pt>
                <c:pt idx="12">
                  <c:v>0.36899999999999999</c:v>
                </c:pt>
                <c:pt idx="13">
                  <c:v>-0.375</c:v>
                </c:pt>
                <c:pt idx="14">
                  <c:v>-1.1319999999999999</c:v>
                </c:pt>
                <c:pt idx="15">
                  <c:v>4.7E-2</c:v>
                </c:pt>
                <c:pt idx="16">
                  <c:v>0.50700000000000001</c:v>
                </c:pt>
                <c:pt idx="17">
                  <c:v>0.34599999999999997</c:v>
                </c:pt>
                <c:pt idx="18">
                  <c:v>-0.73</c:v>
                </c:pt>
                <c:pt idx="19">
                  <c:v>1.107</c:v>
                </c:pt>
                <c:pt idx="20">
                  <c:v>0.34</c:v>
                </c:pt>
                <c:pt idx="21">
                  <c:v>0.156</c:v>
                </c:pt>
                <c:pt idx="22">
                  <c:v>-0.66</c:v>
                </c:pt>
                <c:pt idx="23">
                  <c:v>-0.57299999999999995</c:v>
                </c:pt>
                <c:pt idx="24">
                  <c:v>0.40200000000000002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'Indices-Reg1'!$A$3:$A$100</c:f>
              <c:numCache>
                <c:formatCode>General</c:formatCode>
                <c:ptCount val="98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  <c:pt idx="89">
                  <c:v>2059</c:v>
                </c:pt>
                <c:pt idx="90">
                  <c:v>2060</c:v>
                </c:pt>
                <c:pt idx="91">
                  <c:v>2061</c:v>
                </c:pt>
                <c:pt idx="92">
                  <c:v>2062</c:v>
                </c:pt>
                <c:pt idx="93">
                  <c:v>2063</c:v>
                </c:pt>
                <c:pt idx="94">
                  <c:v>2064</c:v>
                </c:pt>
                <c:pt idx="95">
                  <c:v>2065</c:v>
                </c:pt>
                <c:pt idx="96">
                  <c:v>2066</c:v>
                </c:pt>
                <c:pt idx="97">
                  <c:v>2067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239988736"/>
        <c:axId val="239990272"/>
      </c:scatterChart>
      <c:valAx>
        <c:axId val="23998873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0139275766016711"/>
              <c:y val="0.8101278340830129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9990272"/>
        <c:crossesAt val="-4"/>
        <c:crossBetween val="midCat"/>
        <c:majorUnit val="5"/>
        <c:minorUnit val="3.8539999999999988"/>
      </c:valAx>
      <c:valAx>
        <c:axId val="239990272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2423398328690811E-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99887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 paperSize="170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'Indices-Reg1'!$O$1:$Q$1</c:f>
          <c:strCache>
            <c:ptCount val="1"/>
            <c:pt idx="0">
              <c:v>ATL BRA_LL</c:v>
            </c:pt>
          </c:strCache>
        </c:strRef>
      </c:tx>
      <c:layout>
        <c:manualLayout>
          <c:xMode val="edge"/>
          <c:yMode val="edge"/>
          <c:x val="0.30640668523677039"/>
          <c:y val="7.5709779179810754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7995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'Indices-Reg1'!$O$12:$O$100</c:f>
              <c:numCache>
                <c:formatCode>General</c:formatCode>
                <c:ptCount val="89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</c:numCache>
            </c:numRef>
          </c:xVal>
          <c:yVal>
            <c:numRef>
              <c:f>'Indices-Reg1'!$U$12:$U$100</c:f>
              <c:numCache>
                <c:formatCode>General</c:formatCode>
                <c:ptCount val="89"/>
                <c:pt idx="0">
                  <c:v>0.17699999999999999</c:v>
                </c:pt>
                <c:pt idx="1">
                  <c:v>0.224</c:v>
                </c:pt>
                <c:pt idx="2">
                  <c:v>0.28199999999999997</c:v>
                </c:pt>
                <c:pt idx="3">
                  <c:v>0.26200000000000001</c:v>
                </c:pt>
                <c:pt idx="4">
                  <c:v>0.313</c:v>
                </c:pt>
                <c:pt idx="5">
                  <c:v>0.17599999999999999</c:v>
                </c:pt>
                <c:pt idx="6">
                  <c:v>0.109</c:v>
                </c:pt>
                <c:pt idx="7">
                  <c:v>5.3999999999999999E-2</c:v>
                </c:pt>
                <c:pt idx="8">
                  <c:v>9.2999999999999999E-2</c:v>
                </c:pt>
                <c:pt idx="9">
                  <c:v>7.5999999999999998E-2</c:v>
                </c:pt>
                <c:pt idx="10">
                  <c:v>0.19900000000000001</c:v>
                </c:pt>
                <c:pt idx="11">
                  <c:v>0.161</c:v>
                </c:pt>
                <c:pt idx="12">
                  <c:v>0.20499999999999999</c:v>
                </c:pt>
                <c:pt idx="13">
                  <c:v>0.16400000000000001</c:v>
                </c:pt>
                <c:pt idx="14">
                  <c:v>0.14899999999999999</c:v>
                </c:pt>
                <c:pt idx="15">
                  <c:v>0.13600000000000001</c:v>
                </c:pt>
                <c:pt idx="16">
                  <c:v>8.3000000000000004E-2</c:v>
                </c:pt>
                <c:pt idx="17">
                  <c:v>0.14199999999999999</c:v>
                </c:pt>
                <c:pt idx="18">
                  <c:v>0.151</c:v>
                </c:pt>
                <c:pt idx="19">
                  <c:v>9.8000000000000004E-2</c:v>
                </c:pt>
                <c:pt idx="20">
                  <c:v>0.14499999999999999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'Indices-Reg1'!$O$12:$O$100</c:f>
              <c:numCache>
                <c:formatCode>General</c:formatCode>
                <c:ptCount val="89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</c:numCache>
            </c:numRef>
          </c:xVal>
          <c:yVal>
            <c:numRef>
              <c:f>'Indices-Reg1'!$V$12:$V$100</c:f>
              <c:numCache>
                <c:formatCode>General</c:formatCode>
                <c:ptCount val="89"/>
                <c:pt idx="0">
                  <c:v>0.19</c:v>
                </c:pt>
                <c:pt idx="1">
                  <c:v>0.19600000000000001</c:v>
                </c:pt>
                <c:pt idx="2">
                  <c:v>0.192</c:v>
                </c:pt>
                <c:pt idx="3">
                  <c:v>0.17199999999999999</c:v>
                </c:pt>
                <c:pt idx="4">
                  <c:v>0.161</c:v>
                </c:pt>
                <c:pt idx="5">
                  <c:v>0.154</c:v>
                </c:pt>
                <c:pt idx="6">
                  <c:v>0.154</c:v>
                </c:pt>
                <c:pt idx="7">
                  <c:v>0.155</c:v>
                </c:pt>
                <c:pt idx="8">
                  <c:v>0.154</c:v>
                </c:pt>
                <c:pt idx="9">
                  <c:v>0.14799999999999999</c:v>
                </c:pt>
                <c:pt idx="10">
                  <c:v>0.14199999999999999</c:v>
                </c:pt>
                <c:pt idx="11">
                  <c:v>0.13500000000000001</c:v>
                </c:pt>
                <c:pt idx="12">
                  <c:v>0.13800000000000001</c:v>
                </c:pt>
                <c:pt idx="13">
                  <c:v>0.14899999999999999</c:v>
                </c:pt>
                <c:pt idx="14">
                  <c:v>0.14799999999999999</c:v>
                </c:pt>
                <c:pt idx="15">
                  <c:v>0.14399999999999999</c:v>
                </c:pt>
                <c:pt idx="16">
                  <c:v>0.129</c:v>
                </c:pt>
                <c:pt idx="17">
                  <c:v>0.115</c:v>
                </c:pt>
                <c:pt idx="18">
                  <c:v>0.112</c:v>
                </c:pt>
                <c:pt idx="19">
                  <c:v>0.11700000000000001</c:v>
                </c:pt>
                <c:pt idx="20">
                  <c:v>0.13400000000000001</c:v>
                </c:pt>
              </c:numCache>
            </c:numRef>
          </c:yVal>
        </c:ser>
        <c:axId val="241212800"/>
        <c:axId val="241223168"/>
      </c:scatterChart>
      <c:valAx>
        <c:axId val="24121280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61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223168"/>
        <c:crosses val="autoZero"/>
        <c:crossBetween val="midCat"/>
        <c:majorUnit val="5"/>
        <c:minorUnit val="3.8539999999999988"/>
      </c:valAx>
      <c:valAx>
        <c:axId val="241223168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45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2128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46"/>
          <c:y val="0.89274447949526814"/>
          <c:w val="0.42339832869080862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'Indices-Reg1'!$O$1:$Q$1</c:f>
          <c:strCache>
            <c:ptCount val="1"/>
            <c:pt idx="0">
              <c:v>ATL BRA_LL</c:v>
            </c:pt>
          </c:strCache>
        </c:strRef>
      </c:tx>
      <c:layout>
        <c:manualLayout>
          <c:xMode val="edge"/>
          <c:yMode val="edge"/>
          <c:x val="0.2737433901222478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463719153335524"/>
          <c:y val="0.19682600702507139"/>
          <c:w val="0.65083887651514361"/>
          <c:h val="0.48571579152961275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'Indices-Reg1'!$O$12:$O$100</c:f>
              <c:numCache>
                <c:formatCode>General</c:formatCode>
                <c:ptCount val="89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</c:numCache>
            </c:numRef>
          </c:xVal>
          <c:yVal>
            <c:numRef>
              <c:f>'Indices-Reg1'!$W$12:$W$100</c:f>
              <c:numCache>
                <c:formatCode>General</c:formatCode>
                <c:ptCount val="89"/>
                <c:pt idx="0">
                  <c:v>0.11799999999999999</c:v>
                </c:pt>
                <c:pt idx="1">
                  <c:v>3.5999999999999997E-2</c:v>
                </c:pt>
                <c:pt idx="2">
                  <c:v>2E-3</c:v>
                </c:pt>
                <c:pt idx="3">
                  <c:v>6.0000000000000001E-3</c:v>
                </c:pt>
                <c:pt idx="4">
                  <c:v>0.14299999999999999</c:v>
                </c:pt>
                <c:pt idx="5">
                  <c:v>3.6999999999999998E-2</c:v>
                </c:pt>
                <c:pt idx="6">
                  <c:v>0.248</c:v>
                </c:pt>
                <c:pt idx="7">
                  <c:v>0.56999999999999995</c:v>
                </c:pt>
                <c:pt idx="8">
                  <c:v>0.32900000000000001</c:v>
                </c:pt>
                <c:pt idx="9">
                  <c:v>0.40300000000000002</c:v>
                </c:pt>
                <c:pt idx="10">
                  <c:v>0</c:v>
                </c:pt>
                <c:pt idx="11">
                  <c:v>2.4E-2</c:v>
                </c:pt>
                <c:pt idx="12">
                  <c:v>2E-3</c:v>
                </c:pt>
                <c:pt idx="13">
                  <c:v>0.05</c:v>
                </c:pt>
                <c:pt idx="14">
                  <c:v>8.3000000000000004E-2</c:v>
                </c:pt>
                <c:pt idx="15">
                  <c:v>0.113</c:v>
                </c:pt>
                <c:pt idx="16">
                  <c:v>0.29599999999999999</c:v>
                </c:pt>
                <c:pt idx="17">
                  <c:v>1.6E-2</c:v>
                </c:pt>
                <c:pt idx="18">
                  <c:v>3.0000000000000001E-3</c:v>
                </c:pt>
                <c:pt idx="19">
                  <c:v>0.16700000000000001</c:v>
                </c:pt>
                <c:pt idx="20">
                  <c:v>5.7000000000000002E-2</c:v>
                </c:pt>
              </c:numCache>
            </c:numRef>
          </c:yVal>
        </c:ser>
        <c:axId val="241443968"/>
        <c:axId val="241475968"/>
      </c:scatterChart>
      <c:valAx>
        <c:axId val="24144396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8882748236115786"/>
              <c:y val="0.8603201274805546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475968"/>
        <c:crosses val="autoZero"/>
        <c:crossBetween val="midCat"/>
        <c:majorUnit val="5"/>
        <c:minorUnit val="3.8539999999999988"/>
      </c:valAx>
      <c:valAx>
        <c:axId val="24147596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4.7486098286512422E-2"/>
              <c:y val="0.133333746694403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443968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'Indices-Reg1'!$O$1:$Q$1</c:f>
          <c:strCache>
            <c:ptCount val="1"/>
            <c:pt idx="0">
              <c:v>ATL BRA_LL</c:v>
            </c:pt>
          </c:strCache>
        </c:strRef>
      </c:tx>
      <c:layout>
        <c:manualLayout>
          <c:xMode val="edge"/>
          <c:yMode val="edge"/>
          <c:x val="0.32869080779944493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676880222841226"/>
          <c:y val="0.20253195852075276"/>
          <c:w val="0.6713091922005594"/>
          <c:h val="0.43038041185660103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'Indices-Reg1'!$O$12:$O$100</c:f>
              <c:numCache>
                <c:formatCode>General</c:formatCode>
                <c:ptCount val="89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</c:numCache>
            </c:numRef>
          </c:xVal>
          <c:yVal>
            <c:numRef>
              <c:f>'Indices-Reg1'!$R$12:$R$100</c:f>
              <c:numCache>
                <c:formatCode>General</c:formatCode>
                <c:ptCount val="89"/>
                <c:pt idx="0">
                  <c:v>-7.4999999999999997E-2</c:v>
                </c:pt>
                <c:pt idx="1">
                  <c:v>0.13500000000000001</c:v>
                </c:pt>
                <c:pt idx="2">
                  <c:v>0.38500000000000001</c:v>
                </c:pt>
                <c:pt idx="3">
                  <c:v>0.41899999999999998</c:v>
                </c:pt>
                <c:pt idx="4">
                  <c:v>0.66700000000000004</c:v>
                </c:pt>
                <c:pt idx="5">
                  <c:v>0.13300000000000001</c:v>
                </c:pt>
                <c:pt idx="6">
                  <c:v>-0.34200000000000003</c:v>
                </c:pt>
                <c:pt idx="7">
                  <c:v>-1.06</c:v>
                </c:pt>
                <c:pt idx="8">
                  <c:v>-0.50700000000000001</c:v>
                </c:pt>
                <c:pt idx="9">
                  <c:v>-0.66100000000000003</c:v>
                </c:pt>
                <c:pt idx="10">
                  <c:v>0.33800000000000002</c:v>
                </c:pt>
                <c:pt idx="11">
                  <c:v>0.17699999999999999</c:v>
                </c:pt>
                <c:pt idx="12">
                  <c:v>0.39300000000000002</c:v>
                </c:pt>
                <c:pt idx="13">
                  <c:v>9.4E-2</c:v>
                </c:pt>
                <c:pt idx="14">
                  <c:v>6.0000000000000001E-3</c:v>
                </c:pt>
                <c:pt idx="15">
                  <c:v>-6.3E-2</c:v>
                </c:pt>
                <c:pt idx="16">
                  <c:v>-0.44</c:v>
                </c:pt>
                <c:pt idx="17">
                  <c:v>0.21</c:v>
                </c:pt>
                <c:pt idx="18">
                  <c:v>0.29399999999999998</c:v>
                </c:pt>
                <c:pt idx="19">
                  <c:v>-0.17899999999999999</c:v>
                </c:pt>
                <c:pt idx="20">
                  <c:v>7.2999999999999995E-2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241506176"/>
        <c:axId val="241508352"/>
      </c:scatterChart>
      <c:valAx>
        <c:axId val="24150617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0139275766016711"/>
              <c:y val="0.8101278340830129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508352"/>
        <c:crossesAt val="-4"/>
        <c:crossBetween val="midCat"/>
        <c:majorUnit val="5"/>
        <c:minorUnit val="3.8539999999999988"/>
      </c:valAx>
      <c:valAx>
        <c:axId val="241508352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2423398328690811E-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5061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 paperSize="170"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'Indices-Reg1'!$Z$1:$AB$1</c:f>
          <c:strCache>
            <c:ptCount val="1"/>
            <c:pt idx="0">
              <c:v>ATL JPN_LL</c:v>
            </c:pt>
          </c:strCache>
        </c:strRef>
      </c:tx>
      <c:layout>
        <c:manualLayout>
          <c:xMode val="edge"/>
          <c:yMode val="edge"/>
          <c:x val="0.35933147632311985"/>
          <c:y val="6.9400630914826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7995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'Indices-Reg1'!$Z$12:$Z$100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'Indices-Reg1'!$AF$12:$AF$100</c:f>
              <c:numCache>
                <c:formatCode>General</c:formatCode>
                <c:ptCount val="89"/>
                <c:pt idx="0">
                  <c:v>1.3640000000000001</c:v>
                </c:pt>
                <c:pt idx="1">
                  <c:v>1.069</c:v>
                </c:pt>
                <c:pt idx="2">
                  <c:v>1.5329999999999999</c:v>
                </c:pt>
                <c:pt idx="3">
                  <c:v>1.119</c:v>
                </c:pt>
                <c:pt idx="4">
                  <c:v>1.42</c:v>
                </c:pt>
                <c:pt idx="5">
                  <c:v>1.034</c:v>
                </c:pt>
                <c:pt idx="6">
                  <c:v>1.075</c:v>
                </c:pt>
                <c:pt idx="7">
                  <c:v>0.89300000000000002</c:v>
                </c:pt>
                <c:pt idx="8">
                  <c:v>1.266</c:v>
                </c:pt>
                <c:pt idx="9">
                  <c:v>1.7370000000000001</c:v>
                </c:pt>
                <c:pt idx="10">
                  <c:v>0.97399999999999998</c:v>
                </c:pt>
                <c:pt idx="11">
                  <c:v>1.234</c:v>
                </c:pt>
                <c:pt idx="12">
                  <c:v>1.0629999999999999</c:v>
                </c:pt>
                <c:pt idx="13">
                  <c:v>1.0960000000000001</c:v>
                </c:pt>
                <c:pt idx="14">
                  <c:v>1.1559999999999999</c:v>
                </c:pt>
                <c:pt idx="15">
                  <c:v>0.71799999999999997</c:v>
                </c:pt>
                <c:pt idx="16">
                  <c:v>0.95199999999999996</c:v>
                </c:pt>
                <c:pt idx="17">
                  <c:v>0.99099999999999999</c:v>
                </c:pt>
                <c:pt idx="18">
                  <c:v>1.03</c:v>
                </c:pt>
                <c:pt idx="19">
                  <c:v>0.78</c:v>
                </c:pt>
                <c:pt idx="20">
                  <c:v>1.0629999999999999</c:v>
                </c:pt>
                <c:pt idx="21">
                  <c:v>0.79700000000000004</c:v>
                </c:pt>
                <c:pt idx="22">
                  <c:v>0.83299999999999996</c:v>
                </c:pt>
                <c:pt idx="23">
                  <c:v>0.439</c:v>
                </c:pt>
                <c:pt idx="24">
                  <c:v>0.747</c:v>
                </c:pt>
                <c:pt idx="25">
                  <c:v>0.48899999999999999</c:v>
                </c:pt>
                <c:pt idx="26">
                  <c:v>0.52400000000000002</c:v>
                </c:pt>
                <c:pt idx="27">
                  <c:v>0.42599999999999999</c:v>
                </c:pt>
                <c:pt idx="28">
                  <c:v>0.503</c:v>
                </c:pt>
                <c:pt idx="29">
                  <c:v>0.51900000000000002</c:v>
                </c:pt>
                <c:pt idx="30">
                  <c:v>0.59899999999999998</c:v>
                </c:pt>
                <c:pt idx="31">
                  <c:v>0.39700000000000002</c:v>
                </c:pt>
                <c:pt idx="32">
                  <c:v>0.39700000000000002</c:v>
                </c:pt>
                <c:pt idx="33">
                  <c:v>0.47299999999999998</c:v>
                </c:pt>
                <c:pt idx="34">
                  <c:v>0.59799999999999998</c:v>
                </c:pt>
                <c:pt idx="35">
                  <c:v>0.436</c:v>
                </c:pt>
                <c:pt idx="36">
                  <c:v>0.64300000000000002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'Indices-Reg1'!$Z$12:$Z$100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'Indices-Reg1'!$AG$12:$AG$100</c:f>
              <c:numCache>
                <c:formatCode>General</c:formatCode>
                <c:ptCount val="89"/>
                <c:pt idx="0">
                  <c:v>1.2829999999999999</c:v>
                </c:pt>
                <c:pt idx="1">
                  <c:v>1.175</c:v>
                </c:pt>
                <c:pt idx="2">
                  <c:v>1.115</c:v>
                </c:pt>
                <c:pt idx="3">
                  <c:v>1.0489999999999999</c:v>
                </c:pt>
                <c:pt idx="4">
                  <c:v>0.97</c:v>
                </c:pt>
                <c:pt idx="5">
                  <c:v>0.86099999999999999</c:v>
                </c:pt>
                <c:pt idx="6">
                  <c:v>0.84699999999999998</c:v>
                </c:pt>
                <c:pt idx="7">
                  <c:v>0.96699999999999997</c:v>
                </c:pt>
                <c:pt idx="8">
                  <c:v>1.071</c:v>
                </c:pt>
                <c:pt idx="9">
                  <c:v>1.046</c:v>
                </c:pt>
                <c:pt idx="10">
                  <c:v>0.98</c:v>
                </c:pt>
                <c:pt idx="11">
                  <c:v>0.84399999999999997</c:v>
                </c:pt>
                <c:pt idx="12">
                  <c:v>0.73299999999999998</c:v>
                </c:pt>
                <c:pt idx="13">
                  <c:v>0.67700000000000005</c:v>
                </c:pt>
                <c:pt idx="14">
                  <c:v>0.80900000000000005</c:v>
                </c:pt>
                <c:pt idx="15">
                  <c:v>0.85099999999999998</c:v>
                </c:pt>
                <c:pt idx="16">
                  <c:v>0.90800000000000003</c:v>
                </c:pt>
                <c:pt idx="17">
                  <c:v>1.012</c:v>
                </c:pt>
                <c:pt idx="18">
                  <c:v>1.079</c:v>
                </c:pt>
                <c:pt idx="19">
                  <c:v>0.96299999999999997</c:v>
                </c:pt>
                <c:pt idx="20">
                  <c:v>0.81399999999999995</c:v>
                </c:pt>
                <c:pt idx="21">
                  <c:v>0.745</c:v>
                </c:pt>
                <c:pt idx="22">
                  <c:v>0.74399999999999999</c:v>
                </c:pt>
                <c:pt idx="23">
                  <c:v>0.72099999999999997</c:v>
                </c:pt>
                <c:pt idx="24">
                  <c:v>0.70199999999999996</c:v>
                </c:pt>
                <c:pt idx="25">
                  <c:v>0.72799999999999998</c:v>
                </c:pt>
                <c:pt idx="26">
                  <c:v>0.73899999999999999</c:v>
                </c:pt>
                <c:pt idx="27">
                  <c:v>0.67900000000000005</c:v>
                </c:pt>
                <c:pt idx="28">
                  <c:v>0.61799999999999999</c:v>
                </c:pt>
                <c:pt idx="29">
                  <c:v>0.621</c:v>
                </c:pt>
                <c:pt idx="30">
                  <c:v>0.67800000000000005</c:v>
                </c:pt>
                <c:pt idx="31">
                  <c:v>0.752</c:v>
                </c:pt>
                <c:pt idx="32">
                  <c:v>0.66600000000000004</c:v>
                </c:pt>
                <c:pt idx="33">
                  <c:v>0.56699999999999995</c:v>
                </c:pt>
                <c:pt idx="34">
                  <c:v>0.54900000000000004</c:v>
                </c:pt>
                <c:pt idx="35">
                  <c:v>0.50600000000000001</c:v>
                </c:pt>
                <c:pt idx="36">
                  <c:v>0.54100000000000004</c:v>
                </c:pt>
              </c:numCache>
            </c:numRef>
          </c:yVal>
        </c:ser>
        <c:axId val="241563520"/>
        <c:axId val="241573888"/>
      </c:scatterChart>
      <c:valAx>
        <c:axId val="24156352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61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573888"/>
        <c:crosses val="autoZero"/>
        <c:crossBetween val="midCat"/>
        <c:majorUnit val="5"/>
        <c:minorUnit val="3.8539999999999988"/>
      </c:valAx>
      <c:valAx>
        <c:axId val="241573888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45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5635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46"/>
          <c:y val="0.89274447949526814"/>
          <c:w val="0.42339832869080862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'Indices-Reg1'!$Z$1:$AB$1</c:f>
          <c:strCache>
            <c:ptCount val="1"/>
            <c:pt idx="0">
              <c:v>ATL JPN_LL</c:v>
            </c:pt>
          </c:strCache>
        </c:strRef>
      </c:tx>
      <c:layout>
        <c:manualLayout>
          <c:xMode val="edge"/>
          <c:yMode val="edge"/>
          <c:x val="0.30167638911431516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346399193652891"/>
          <c:y val="0.19682600702507139"/>
          <c:w val="0.66201207611196655"/>
          <c:h val="0.48571579152961275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'Indices-Reg1'!$Z$12:$Z$100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'Indices-Reg1'!$AH$12:$AH$100</c:f>
              <c:numCache>
                <c:formatCode>General</c:formatCode>
                <c:ptCount val="89"/>
                <c:pt idx="0">
                  <c:v>6.2E-2</c:v>
                </c:pt>
                <c:pt idx="1">
                  <c:v>0.127</c:v>
                </c:pt>
                <c:pt idx="2">
                  <c:v>1E-3</c:v>
                </c:pt>
                <c:pt idx="3">
                  <c:v>0.06</c:v>
                </c:pt>
                <c:pt idx="4">
                  <c:v>1E-3</c:v>
                </c:pt>
                <c:pt idx="5">
                  <c:v>2.3E-2</c:v>
                </c:pt>
                <c:pt idx="6">
                  <c:v>1.0999999999999999E-2</c:v>
                </c:pt>
                <c:pt idx="7">
                  <c:v>0.12</c:v>
                </c:pt>
                <c:pt idx="8">
                  <c:v>2.7E-2</c:v>
                </c:pt>
                <c:pt idx="9">
                  <c:v>0.03</c:v>
                </c:pt>
                <c:pt idx="10">
                  <c:v>8.7999999999999995E-2</c:v>
                </c:pt>
                <c:pt idx="11">
                  <c:v>1E-3</c:v>
                </c:pt>
                <c:pt idx="12">
                  <c:v>1E-3</c:v>
                </c:pt>
                <c:pt idx="13">
                  <c:v>2.1000000000000001E-2</c:v>
                </c:pt>
                <c:pt idx="14">
                  <c:v>0</c:v>
                </c:pt>
                <c:pt idx="15">
                  <c:v>0.16300000000000001</c:v>
                </c:pt>
                <c:pt idx="16">
                  <c:v>6.7000000000000004E-2</c:v>
                </c:pt>
                <c:pt idx="17">
                  <c:v>9.5000000000000001E-2</c:v>
                </c:pt>
                <c:pt idx="18">
                  <c:v>0.106</c:v>
                </c:pt>
                <c:pt idx="19">
                  <c:v>0.182</c:v>
                </c:pt>
                <c:pt idx="20">
                  <c:v>6.0000000000000001E-3</c:v>
                </c:pt>
                <c:pt idx="21">
                  <c:v>5.8999999999999997E-2</c:v>
                </c:pt>
                <c:pt idx="22">
                  <c:v>4.2999999999999997E-2</c:v>
                </c:pt>
                <c:pt idx="23">
                  <c:v>0.32500000000000001</c:v>
                </c:pt>
                <c:pt idx="24">
                  <c:v>6.0999999999999999E-2</c:v>
                </c:pt>
                <c:pt idx="25">
                  <c:v>0.27600000000000002</c:v>
                </c:pt>
                <c:pt idx="26">
                  <c:v>0.248</c:v>
                </c:pt>
                <c:pt idx="27">
                  <c:v>0.309</c:v>
                </c:pt>
                <c:pt idx="28">
                  <c:v>0.18</c:v>
                </c:pt>
                <c:pt idx="29">
                  <c:v>0.16800000000000001</c:v>
                </c:pt>
                <c:pt idx="30">
                  <c:v>0.14099999999999999</c:v>
                </c:pt>
                <c:pt idx="31">
                  <c:v>0.39300000000000002</c:v>
                </c:pt>
                <c:pt idx="32">
                  <c:v>0.33500000000000002</c:v>
                </c:pt>
                <c:pt idx="33">
                  <c:v>0.16800000000000001</c:v>
                </c:pt>
                <c:pt idx="34">
                  <c:v>5.1999999999999998E-2</c:v>
                </c:pt>
                <c:pt idx="35">
                  <c:v>0.153</c:v>
                </c:pt>
                <c:pt idx="36">
                  <c:v>2.5999999999999999E-2</c:v>
                </c:pt>
              </c:numCache>
            </c:numRef>
          </c:yVal>
        </c:ser>
        <c:axId val="241581440"/>
        <c:axId val="241609344"/>
      </c:scatterChart>
      <c:valAx>
        <c:axId val="24158144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8324088256274428"/>
              <c:y val="0.8603201274805546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609344"/>
        <c:crosses val="autoZero"/>
        <c:crossBetween val="midCat"/>
        <c:majorUnit val="5"/>
        <c:minorUnit val="3.8539999999999988"/>
      </c:valAx>
      <c:valAx>
        <c:axId val="24160934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4.7486098286512422E-2"/>
              <c:y val="0.133333746694403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581440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'Indices-Reg1'!$Z$1:$AB$1</c:f>
          <c:strCache>
            <c:ptCount val="1"/>
            <c:pt idx="0">
              <c:v>ATL JPN_LL</c:v>
            </c:pt>
          </c:strCache>
        </c:strRef>
      </c:tx>
      <c:layout>
        <c:manualLayout>
          <c:xMode val="edge"/>
          <c:yMode val="edge"/>
          <c:x val="0.35654596100278646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676880222841226"/>
          <c:y val="0.20253195852075276"/>
          <c:w val="0.6713091922005594"/>
          <c:h val="0.43038041185660103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'Indices-Reg1'!$Z$12:$Z$100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'Indices-Reg1'!$AC$12:$AC$100</c:f>
              <c:numCache>
                <c:formatCode>General</c:formatCode>
                <c:ptCount val="89"/>
                <c:pt idx="0">
                  <c:v>6.0999999999999999E-2</c:v>
                </c:pt>
                <c:pt idx="1">
                  <c:v>-9.4E-2</c:v>
                </c:pt>
                <c:pt idx="2">
                  <c:v>0.318</c:v>
                </c:pt>
                <c:pt idx="3">
                  <c:v>6.5000000000000002E-2</c:v>
                </c:pt>
                <c:pt idx="4">
                  <c:v>0.38100000000000001</c:v>
                </c:pt>
                <c:pt idx="5">
                  <c:v>0.183</c:v>
                </c:pt>
                <c:pt idx="6">
                  <c:v>0.23799999999999999</c:v>
                </c:pt>
                <c:pt idx="7">
                  <c:v>-7.9000000000000001E-2</c:v>
                </c:pt>
                <c:pt idx="8">
                  <c:v>0.16700000000000001</c:v>
                </c:pt>
                <c:pt idx="9">
                  <c:v>0.50700000000000001</c:v>
                </c:pt>
                <c:pt idx="10">
                  <c:v>-5.0000000000000001E-3</c:v>
                </c:pt>
                <c:pt idx="11">
                  <c:v>0.38</c:v>
                </c:pt>
                <c:pt idx="12">
                  <c:v>0.372</c:v>
                </c:pt>
                <c:pt idx="13">
                  <c:v>0.48199999999999998</c:v>
                </c:pt>
                <c:pt idx="14">
                  <c:v>0.35699999999999998</c:v>
                </c:pt>
                <c:pt idx="15">
                  <c:v>-0.17</c:v>
                </c:pt>
                <c:pt idx="16">
                  <c:v>4.7E-2</c:v>
                </c:pt>
                <c:pt idx="17">
                  <c:v>-2.1000000000000001E-2</c:v>
                </c:pt>
                <c:pt idx="18">
                  <c:v>-4.5999999999999999E-2</c:v>
                </c:pt>
                <c:pt idx="19">
                  <c:v>-0.21</c:v>
                </c:pt>
                <c:pt idx="20">
                  <c:v>0.26700000000000002</c:v>
                </c:pt>
                <c:pt idx="21">
                  <c:v>6.7000000000000004E-2</c:v>
                </c:pt>
                <c:pt idx="22">
                  <c:v>0.114</c:v>
                </c:pt>
                <c:pt idx="23">
                  <c:v>-0.497</c:v>
                </c:pt>
                <c:pt idx="24">
                  <c:v>6.2E-2</c:v>
                </c:pt>
                <c:pt idx="25">
                  <c:v>-0.39900000000000002</c:v>
                </c:pt>
                <c:pt idx="26">
                  <c:v>-0.34300000000000003</c:v>
                </c:pt>
                <c:pt idx="27">
                  <c:v>-0.46600000000000003</c:v>
                </c:pt>
                <c:pt idx="28">
                  <c:v>-0.20599999999999999</c:v>
                </c:pt>
                <c:pt idx="29">
                  <c:v>-0.18</c:v>
                </c:pt>
                <c:pt idx="30">
                  <c:v>-0.124</c:v>
                </c:pt>
                <c:pt idx="31">
                  <c:v>-0.63900000000000001</c:v>
                </c:pt>
                <c:pt idx="32">
                  <c:v>-0.51700000000000002</c:v>
                </c:pt>
                <c:pt idx="33">
                  <c:v>-0.18099999999999999</c:v>
                </c:pt>
                <c:pt idx="34">
                  <c:v>8.6999999999999994E-2</c:v>
                </c:pt>
                <c:pt idx="35">
                  <c:v>-0.14899999999999999</c:v>
                </c:pt>
                <c:pt idx="36">
                  <c:v>0.17199999999999999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242164096"/>
        <c:axId val="242166016"/>
      </c:scatterChart>
      <c:valAx>
        <c:axId val="24216409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0139275766016711"/>
              <c:y val="0.8101278340830129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166016"/>
        <c:crossesAt val="-4"/>
        <c:crossBetween val="midCat"/>
        <c:majorUnit val="5"/>
        <c:minorUnit val="3.8539999999999988"/>
      </c:valAx>
      <c:valAx>
        <c:axId val="242166016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2423398328690811E-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1640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 paperSize="170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'Indices-Reg1'!$AL$1:$AN$1</c:f>
          <c:strCache>
            <c:ptCount val="1"/>
            <c:pt idx="0">
              <c:v>ATL USMEX_LL</c:v>
            </c:pt>
          </c:strCache>
        </c:strRef>
      </c:tx>
      <c:layout>
        <c:manualLayout>
          <c:xMode val="edge"/>
          <c:yMode val="edge"/>
          <c:x val="0.31754874651810583"/>
          <c:y val="6.9400630914826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7995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'Indices-Reg1'!$AL$12:$AL$100</c:f>
              <c:numCache>
                <c:formatCode>General</c:formatCode>
                <c:ptCount val="89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</c:numCache>
            </c:numRef>
          </c:xVal>
          <c:yVal>
            <c:numRef>
              <c:f>'Indices-Reg1'!$AR$12:$AR$100</c:f>
              <c:numCache>
                <c:formatCode>General</c:formatCode>
                <c:ptCount val="89"/>
                <c:pt idx="0">
                  <c:v>1.151</c:v>
                </c:pt>
                <c:pt idx="1">
                  <c:v>1.589</c:v>
                </c:pt>
                <c:pt idx="2">
                  <c:v>1.012</c:v>
                </c:pt>
                <c:pt idx="3">
                  <c:v>0.89800000000000002</c:v>
                </c:pt>
                <c:pt idx="4">
                  <c:v>0.97699999999999998</c:v>
                </c:pt>
                <c:pt idx="5">
                  <c:v>0.90100000000000002</c:v>
                </c:pt>
                <c:pt idx="6">
                  <c:v>1.373</c:v>
                </c:pt>
                <c:pt idx="7">
                  <c:v>0.93799999999999994</c:v>
                </c:pt>
                <c:pt idx="8">
                  <c:v>0.74299999999999999</c:v>
                </c:pt>
                <c:pt idx="9">
                  <c:v>0.78700000000000003</c:v>
                </c:pt>
                <c:pt idx="10">
                  <c:v>0.91400000000000003</c:v>
                </c:pt>
                <c:pt idx="11">
                  <c:v>0.77100000000000002</c:v>
                </c:pt>
                <c:pt idx="12">
                  <c:v>0.70499999999999996</c:v>
                </c:pt>
                <c:pt idx="13">
                  <c:v>0.73699999999999999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'Indices-Reg1'!$AL$12:$AL$100</c:f>
              <c:numCache>
                <c:formatCode>General</c:formatCode>
                <c:ptCount val="89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</c:numCache>
            </c:numRef>
          </c:xVal>
          <c:yVal>
            <c:numRef>
              <c:f>'Indices-Reg1'!$AS$12:$AS$100</c:f>
              <c:numCache>
                <c:formatCode>General</c:formatCode>
                <c:ptCount val="89"/>
                <c:pt idx="0">
                  <c:v>1.0569999999999999</c:v>
                </c:pt>
                <c:pt idx="1">
                  <c:v>1.042</c:v>
                </c:pt>
                <c:pt idx="2">
                  <c:v>1.081</c:v>
                </c:pt>
                <c:pt idx="3">
                  <c:v>1.077</c:v>
                </c:pt>
                <c:pt idx="4">
                  <c:v>0.97599999999999998</c:v>
                </c:pt>
                <c:pt idx="5">
                  <c:v>0.89700000000000002</c:v>
                </c:pt>
                <c:pt idx="6">
                  <c:v>0.91300000000000003</c:v>
                </c:pt>
                <c:pt idx="7">
                  <c:v>1.014</c:v>
                </c:pt>
                <c:pt idx="8">
                  <c:v>1.1080000000000001</c:v>
                </c:pt>
                <c:pt idx="9">
                  <c:v>0.93799999999999994</c:v>
                </c:pt>
                <c:pt idx="10">
                  <c:v>0.81</c:v>
                </c:pt>
                <c:pt idx="11">
                  <c:v>0.78900000000000003</c:v>
                </c:pt>
                <c:pt idx="12">
                  <c:v>0.72699999999999998</c:v>
                </c:pt>
                <c:pt idx="13">
                  <c:v>0.80400000000000005</c:v>
                </c:pt>
              </c:numCache>
            </c:numRef>
          </c:yVal>
        </c:ser>
        <c:axId val="242217344"/>
        <c:axId val="242219264"/>
      </c:scatterChart>
      <c:valAx>
        <c:axId val="24221734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61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219264"/>
        <c:crosses val="autoZero"/>
        <c:crossBetween val="midCat"/>
        <c:majorUnit val="5"/>
        <c:minorUnit val="3.8539999999999988"/>
      </c:valAx>
      <c:valAx>
        <c:axId val="242219264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45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2173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46"/>
          <c:y val="0.89274447949526814"/>
          <c:w val="0.42339832869080862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'Indices-Reg1'!$AL$1:$AN$1</c:f>
          <c:strCache>
            <c:ptCount val="1"/>
            <c:pt idx="0">
              <c:v>ATL USMEX_LL</c:v>
            </c:pt>
          </c:strCache>
        </c:strRef>
      </c:tx>
      <c:layout>
        <c:manualLayout>
          <c:xMode val="edge"/>
          <c:yMode val="edge"/>
          <c:x val="0.25977689062621478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374"/>
          <c:y val="0.23174675020693891"/>
          <c:w val="0.52793368095004856"/>
          <c:h val="0.40635046611627718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'Indices-Reg1'!$AL$12:$AL$100</c:f>
              <c:numCache>
                <c:formatCode>General</c:formatCode>
                <c:ptCount val="89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</c:numCache>
            </c:numRef>
          </c:xVal>
          <c:yVal>
            <c:numRef>
              <c:f>'Indices-Reg1'!$AT$12:$AT$100</c:f>
              <c:numCache>
                <c:formatCode>General</c:formatCode>
                <c:ptCount val="89"/>
                <c:pt idx="0">
                  <c:v>5.2999999999999999E-2</c:v>
                </c:pt>
                <c:pt idx="1">
                  <c:v>6.0000000000000001E-3</c:v>
                </c:pt>
                <c:pt idx="2">
                  <c:v>0.114</c:v>
                </c:pt>
                <c:pt idx="3">
                  <c:v>0.16800000000000001</c:v>
                </c:pt>
                <c:pt idx="4">
                  <c:v>8.5000000000000006E-2</c:v>
                </c:pt>
                <c:pt idx="5">
                  <c:v>8.4000000000000005E-2</c:v>
                </c:pt>
                <c:pt idx="6">
                  <c:v>4.0000000000000001E-3</c:v>
                </c:pt>
                <c:pt idx="7">
                  <c:v>0.11899999999999999</c:v>
                </c:pt>
                <c:pt idx="8">
                  <c:v>0.27700000000000002</c:v>
                </c:pt>
                <c:pt idx="9">
                  <c:v>0.16500000000000001</c:v>
                </c:pt>
                <c:pt idx="10">
                  <c:v>4.1000000000000002E-2</c:v>
                </c:pt>
                <c:pt idx="11">
                  <c:v>9.6000000000000002E-2</c:v>
                </c:pt>
                <c:pt idx="12">
                  <c:v>9.9000000000000005E-2</c:v>
                </c:pt>
                <c:pt idx="13">
                  <c:v>0.124</c:v>
                </c:pt>
              </c:numCache>
            </c:numRef>
          </c:yVal>
        </c:ser>
        <c:axId val="241864704"/>
        <c:axId val="242185344"/>
      </c:scatterChart>
      <c:valAx>
        <c:axId val="24186470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7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185344"/>
        <c:crosses val="autoZero"/>
        <c:crossBetween val="midCat"/>
        <c:majorUnit val="5"/>
        <c:minorUnit val="3.8539999999999988"/>
      </c:valAx>
      <c:valAx>
        <c:axId val="24218534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864704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'Indices-Reg1'!$AX$1:$AZ$1</c:f>
          <c:strCache>
            <c:ptCount val="1"/>
            <c:pt idx="0">
              <c:v>ATL US_RR</c:v>
            </c:pt>
          </c:strCache>
        </c:strRef>
      </c:tx>
      <c:layout>
        <c:manualLayout>
          <c:xMode val="edge"/>
          <c:yMode val="edge"/>
          <c:x val="0.32311977715877566"/>
          <c:y val="6.9400630914826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7995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'Indices-Reg1'!$AX$12:$AX$100</c:f>
              <c:numCache>
                <c:formatCode>General</c:formatCode>
                <c:ptCount val="89"/>
              </c:numCache>
            </c:numRef>
          </c:xVal>
          <c:yVal>
            <c:numRef>
              <c:f>'Indices-Reg1'!$BD$12:$BD$100</c:f>
              <c:numCache>
                <c:formatCode>General</c:formatCode>
                <c:ptCount val="89"/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'Indices-Reg1'!$AX$12:$AX$100</c:f>
              <c:numCache>
                <c:formatCode>General</c:formatCode>
                <c:ptCount val="89"/>
              </c:numCache>
            </c:numRef>
          </c:xVal>
          <c:yVal>
            <c:numRef>
              <c:f>'Indices-Reg1'!$BE$12:$BE$100</c:f>
              <c:numCache>
                <c:formatCode>General</c:formatCode>
                <c:ptCount val="89"/>
              </c:numCache>
            </c:numRef>
          </c:yVal>
        </c:ser>
        <c:axId val="242625920"/>
        <c:axId val="242660864"/>
      </c:scatterChart>
      <c:valAx>
        <c:axId val="242625920"/>
        <c:scaling>
          <c:orientation val="minMax"/>
          <c:max val="2007"/>
          <c:min val="1969"/>
        </c:scaling>
        <c:axPos val="b"/>
        <c:min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61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660864"/>
        <c:crosses val="autoZero"/>
        <c:crossBetween val="midCat"/>
        <c:majorUnit val="5"/>
        <c:minorUnit val="3.8539999999999988"/>
      </c:valAx>
      <c:valAx>
        <c:axId val="242660864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45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6259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46"/>
          <c:y val="0.89274447949526814"/>
          <c:w val="0.42339832869080862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'Indices-Reg1'!$AX$1:$AZ$1</c:f>
          <c:strCache>
            <c:ptCount val="1"/>
            <c:pt idx="0">
              <c:v>ATL US_RR</c:v>
            </c:pt>
          </c:strCache>
        </c:strRef>
      </c:tx>
      <c:layout>
        <c:manualLayout>
          <c:xMode val="edge"/>
          <c:yMode val="edge"/>
          <c:x val="0.26536349042462798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4078258770320735"/>
          <c:y val="0.23174675020693891"/>
          <c:w val="0.53910688054687572"/>
          <c:h val="0.40635046611627718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'Indices-Reg1'!$AX$12:$AX$100</c:f>
              <c:numCache>
                <c:formatCode>General</c:formatCode>
                <c:ptCount val="89"/>
              </c:numCache>
            </c:numRef>
          </c:xVal>
          <c:yVal>
            <c:numRef>
              <c:f>'Indices-Reg1'!$BF$12:$BF$100</c:f>
              <c:numCache>
                <c:formatCode>General</c:formatCode>
                <c:ptCount val="89"/>
              </c:numCache>
            </c:numRef>
          </c:yVal>
        </c:ser>
        <c:axId val="242676864"/>
        <c:axId val="242753920"/>
      </c:scatterChart>
      <c:valAx>
        <c:axId val="24267686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3910688054687572"/>
              <c:y val="0.815875545249087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753920"/>
        <c:crosses val="autoZero"/>
        <c:crossBetween val="midCat"/>
        <c:majorUnit val="5"/>
        <c:minorUnit val="3.8539999999999988"/>
      </c:valAx>
      <c:valAx>
        <c:axId val="24275392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676864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'Indices-Reg1'!$AX$1:$AZ$1</c:f>
          <c:strCache>
            <c:ptCount val="1"/>
            <c:pt idx="0">
              <c:v>ATL US_RR</c:v>
            </c:pt>
          </c:strCache>
        </c:strRef>
      </c:tx>
      <c:layout>
        <c:manualLayout>
          <c:xMode val="edge"/>
          <c:yMode val="edge"/>
          <c:x val="0.32033426183844227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48"/>
          <c:y val="0.23734213889150763"/>
          <c:w val="0.62674094707521033"/>
          <c:h val="0.35759548926320484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'Indices-Reg1'!$AX$12:$AX$100</c:f>
              <c:numCache>
                <c:formatCode>General</c:formatCode>
                <c:ptCount val="89"/>
              </c:numCache>
            </c:numRef>
          </c:xVal>
          <c:yVal>
            <c:numRef>
              <c:f>'Indices-Reg1'!$BA$12:$BA$100</c:f>
              <c:numCache>
                <c:formatCode>General</c:formatCode>
                <c:ptCount val="89"/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242796416"/>
        <c:axId val="242802688"/>
      </c:scatterChart>
      <c:valAx>
        <c:axId val="24279641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21530918603695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802688"/>
        <c:crossesAt val="-4"/>
        <c:crossBetween val="midCat"/>
        <c:majorUnit val="5"/>
        <c:minorUnit val="3.8539999999999988"/>
      </c:valAx>
      <c:valAx>
        <c:axId val="242802688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48105666698101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7964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 paperSize="170" orientation="landscape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'Indices-Reg1'!$BJ$1:$BK$1</c:f>
          <c:strCache>
            <c:ptCount val="1"/>
            <c:pt idx="0">
              <c:v>ATL US_PLL ATL</c:v>
            </c:pt>
          </c:strCache>
        </c:strRef>
      </c:tx>
      <c:layout>
        <c:manualLayout>
          <c:xMode val="edge"/>
          <c:yMode val="edge"/>
          <c:x val="0.35376044568245213"/>
          <c:y val="6.9400630914826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7995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'Indices-Reg1'!$BJ$12:$BJ$100</c:f>
              <c:numCache>
                <c:formatCode>General</c:formatCode>
                <c:ptCount val="89"/>
              </c:numCache>
            </c:numRef>
          </c:xVal>
          <c:yVal>
            <c:numRef>
              <c:f>'Indices-Reg1'!$BP$12:$BP$100</c:f>
              <c:numCache>
                <c:formatCode>General</c:formatCode>
                <c:ptCount val="89"/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'Indices-Reg1'!$BJ$12:$BJ$100</c:f>
              <c:numCache>
                <c:formatCode>General</c:formatCode>
                <c:ptCount val="89"/>
              </c:numCache>
            </c:numRef>
          </c:xVal>
          <c:yVal>
            <c:numRef>
              <c:f>'Indices-Reg1'!$BQ$12:$BQ$100</c:f>
              <c:numCache>
                <c:formatCode>General</c:formatCode>
                <c:ptCount val="89"/>
              </c:numCache>
            </c:numRef>
          </c:yVal>
        </c:ser>
        <c:axId val="242501888"/>
        <c:axId val="242511872"/>
      </c:scatterChart>
      <c:valAx>
        <c:axId val="24250188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61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511872"/>
        <c:crosses val="autoZero"/>
        <c:crossBetween val="midCat"/>
        <c:majorUnit val="5"/>
        <c:minorUnit val="3.8539999999999988"/>
      </c:valAx>
      <c:valAx>
        <c:axId val="242511872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45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5018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46"/>
          <c:y val="0.89274447949526814"/>
          <c:w val="0.42339832869080862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'Indices-Reg1'!$BJ$1:$BK$1</c:f>
          <c:strCache>
            <c:ptCount val="1"/>
            <c:pt idx="0">
              <c:v>ATL US_PLL ATL</c:v>
            </c:pt>
          </c:strCache>
        </c:strRef>
      </c:tx>
      <c:layout>
        <c:manualLayout>
          <c:xMode val="edge"/>
          <c:yMode val="edge"/>
          <c:x val="0.29608978931590235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1564288861034773"/>
          <c:y val="0.23174675020693891"/>
          <c:w val="0.56424657963973524"/>
          <c:h val="0.40635046611627718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'Indices-Reg1'!$BJ$12:$BJ$100</c:f>
              <c:numCache>
                <c:formatCode>General</c:formatCode>
                <c:ptCount val="89"/>
              </c:numCache>
            </c:numRef>
          </c:xVal>
          <c:yVal>
            <c:numRef>
              <c:f>'Indices-Reg1'!$BR$12:$BR$100</c:f>
              <c:numCache>
                <c:formatCode>General</c:formatCode>
                <c:ptCount val="89"/>
              </c:numCache>
            </c:numRef>
          </c:yVal>
        </c:ser>
        <c:axId val="242527616"/>
        <c:axId val="242817664"/>
      </c:scatterChart>
      <c:valAx>
        <c:axId val="24252761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2793368095004856"/>
              <c:y val="0.815875545249087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817664"/>
        <c:crosses val="autoZero"/>
        <c:crossBetween val="midCat"/>
        <c:majorUnit val="5"/>
        <c:minorUnit val="3.8539999999999988"/>
      </c:valAx>
      <c:valAx>
        <c:axId val="24281766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527616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'Indices-Reg1'!$BJ$1:$BK$1</c:f>
          <c:strCache>
            <c:ptCount val="1"/>
            <c:pt idx="0">
              <c:v>ATL US_PLL ATL</c:v>
            </c:pt>
          </c:strCache>
        </c:strRef>
      </c:tx>
      <c:layout>
        <c:manualLayout>
          <c:xMode val="edge"/>
          <c:yMode val="edge"/>
          <c:x val="0.35097493036211791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48"/>
          <c:y val="0.23734213889150763"/>
          <c:w val="0.62674094707521033"/>
          <c:h val="0.35759548926320484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'Indices-Reg1'!$BJ$12:$BJ$100</c:f>
              <c:numCache>
                <c:formatCode>General</c:formatCode>
                <c:ptCount val="89"/>
              </c:numCache>
            </c:numRef>
          </c:xVal>
          <c:yVal>
            <c:numRef>
              <c:f>'Indices-Reg1'!$BM$12:$BM$100</c:f>
              <c:numCache>
                <c:formatCode>General</c:formatCode>
                <c:ptCount val="89"/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242860032"/>
        <c:axId val="242861952"/>
      </c:scatterChart>
      <c:valAx>
        <c:axId val="24286003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21530918603695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861952"/>
        <c:crossesAt val="-4"/>
        <c:crossBetween val="midCat"/>
        <c:majorUnit val="5"/>
        <c:minorUnit val="3.8539999999999988"/>
      </c:valAx>
      <c:valAx>
        <c:axId val="242861952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48105666698101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860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 paperSize="170" orientation="landscape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'Indices-Reg1'!$BV$1:$BW$1</c:f>
          <c:strCache>
            <c:ptCount val="1"/>
            <c:pt idx="0">
              <c:v>ATL VEN_LL</c:v>
            </c:pt>
          </c:strCache>
        </c:strRef>
      </c:tx>
      <c:layout>
        <c:manualLayout>
          <c:xMode val="edge"/>
          <c:yMode val="edge"/>
          <c:x val="0.33426183844011143"/>
          <c:y val="6.9400630914826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7995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'Indices-Reg1'!$BV$12:$BV$100</c:f>
              <c:numCache>
                <c:formatCode>General</c:formatCode>
                <c:ptCount val="89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</c:numCache>
            </c:numRef>
          </c:xVal>
          <c:yVal>
            <c:numRef>
              <c:f>'Indices-Reg1'!$CB$12:$CB$100</c:f>
              <c:numCache>
                <c:formatCode>General</c:formatCode>
                <c:ptCount val="89"/>
                <c:pt idx="0">
                  <c:v>1.0449999999999999</c:v>
                </c:pt>
                <c:pt idx="1">
                  <c:v>1.1379999999999999</c:v>
                </c:pt>
                <c:pt idx="2">
                  <c:v>1.6759999999999999</c:v>
                </c:pt>
                <c:pt idx="3">
                  <c:v>0.627</c:v>
                </c:pt>
                <c:pt idx="4">
                  <c:v>0.69399999999999995</c:v>
                </c:pt>
                <c:pt idx="5">
                  <c:v>0.90500000000000003</c:v>
                </c:pt>
                <c:pt idx="6">
                  <c:v>0.5</c:v>
                </c:pt>
                <c:pt idx="7">
                  <c:v>0.87</c:v>
                </c:pt>
                <c:pt idx="8">
                  <c:v>0.84899999999999998</c:v>
                </c:pt>
                <c:pt idx="9">
                  <c:v>0.629</c:v>
                </c:pt>
                <c:pt idx="10">
                  <c:v>2.0670000000000002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'Indices-Reg1'!$BV$12:$BV$100</c:f>
              <c:numCache>
                <c:formatCode>General</c:formatCode>
                <c:ptCount val="89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</c:numCache>
            </c:numRef>
          </c:xVal>
          <c:yVal>
            <c:numRef>
              <c:f>'Indices-Reg1'!$CC$12:$CC$100</c:f>
              <c:numCache>
                <c:formatCode>General</c:formatCode>
                <c:ptCount val="89"/>
                <c:pt idx="0">
                  <c:v>0.98</c:v>
                </c:pt>
                <c:pt idx="1">
                  <c:v>0.96699999999999997</c:v>
                </c:pt>
                <c:pt idx="2">
                  <c:v>0.94699999999999995</c:v>
                </c:pt>
                <c:pt idx="3">
                  <c:v>0.91200000000000003</c:v>
                </c:pt>
                <c:pt idx="4">
                  <c:v>0.92800000000000005</c:v>
                </c:pt>
                <c:pt idx="5">
                  <c:v>0.96299999999999997</c:v>
                </c:pt>
                <c:pt idx="6">
                  <c:v>0.9</c:v>
                </c:pt>
                <c:pt idx="7">
                  <c:v>0.82699999999999996</c:v>
                </c:pt>
                <c:pt idx="8">
                  <c:v>0.82899999999999996</c:v>
                </c:pt>
                <c:pt idx="9">
                  <c:v>0.86199999999999999</c:v>
                </c:pt>
                <c:pt idx="10">
                  <c:v>0.96899999999999997</c:v>
                </c:pt>
              </c:numCache>
            </c:numRef>
          </c:yVal>
        </c:ser>
        <c:axId val="243110272"/>
        <c:axId val="243112192"/>
      </c:scatterChart>
      <c:valAx>
        <c:axId val="24311027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61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3112192"/>
        <c:crosses val="autoZero"/>
        <c:crossBetween val="midCat"/>
        <c:majorUnit val="5"/>
        <c:minorUnit val="3.8539999999999988"/>
      </c:valAx>
      <c:valAx>
        <c:axId val="243112192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45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31102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46"/>
          <c:y val="0.89274447949526814"/>
          <c:w val="0.42339832869080862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'Indices-Reg1'!$BV$1:$BW$1</c:f>
          <c:strCache>
            <c:ptCount val="1"/>
            <c:pt idx="0">
              <c:v>ATL VEN_LL</c:v>
            </c:pt>
          </c:strCache>
        </c:strRef>
      </c:tx>
      <c:layout>
        <c:manualLayout>
          <c:xMode val="edge"/>
          <c:yMode val="edge"/>
          <c:x val="0.27653669002145442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1564288861034773"/>
          <c:y val="0.23174675020693891"/>
          <c:w val="0.56424657963973524"/>
          <c:h val="0.40635046611627718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'Indices-Reg1'!$BV$12:$BV$100</c:f>
              <c:numCache>
                <c:formatCode>General</c:formatCode>
                <c:ptCount val="89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</c:numCache>
            </c:numRef>
          </c:xVal>
          <c:yVal>
            <c:numRef>
              <c:f>'Indices-Reg1'!$CD$12:$CD$100</c:f>
              <c:numCache>
                <c:formatCode>General</c:formatCode>
                <c:ptCount val="89"/>
                <c:pt idx="0">
                  <c:v>6.0999999999999999E-2</c:v>
                </c:pt>
                <c:pt idx="1">
                  <c:v>2.8000000000000001E-2</c:v>
                </c:pt>
                <c:pt idx="2">
                  <c:v>6.3E-2</c:v>
                </c:pt>
                <c:pt idx="3">
                  <c:v>0.26400000000000001</c:v>
                </c:pt>
                <c:pt idx="4">
                  <c:v>0.222</c:v>
                </c:pt>
                <c:pt idx="5">
                  <c:v>0.113</c:v>
                </c:pt>
                <c:pt idx="6">
                  <c:v>0.36899999999999999</c:v>
                </c:pt>
                <c:pt idx="7">
                  <c:v>6.6000000000000003E-2</c:v>
                </c:pt>
                <c:pt idx="8">
                  <c:v>7.5999999999999998E-2</c:v>
                </c:pt>
                <c:pt idx="9">
                  <c:v>0.23499999999999999</c:v>
                </c:pt>
                <c:pt idx="10">
                  <c:v>0.25800000000000001</c:v>
                </c:pt>
              </c:numCache>
            </c:numRef>
          </c:yVal>
        </c:ser>
        <c:axId val="251606912"/>
        <c:axId val="251630720"/>
      </c:scatterChart>
      <c:valAx>
        <c:axId val="25160691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2793368095004856"/>
              <c:y val="0.815875545249087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630720"/>
        <c:crosses val="autoZero"/>
        <c:crossBetween val="midCat"/>
        <c:majorUnit val="5"/>
        <c:minorUnit val="3.8539999999999988"/>
      </c:valAx>
      <c:valAx>
        <c:axId val="25163072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606912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'Indices-Reg1'!$BV$1:$BW$1</c:f>
          <c:strCache>
            <c:ptCount val="1"/>
            <c:pt idx="0">
              <c:v>ATL VEN_LL</c:v>
            </c:pt>
          </c:strCache>
        </c:strRef>
      </c:tx>
      <c:layout>
        <c:manualLayout>
          <c:xMode val="edge"/>
          <c:yMode val="edge"/>
          <c:x val="0.33147632311977926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48"/>
          <c:y val="0.23734213889150763"/>
          <c:w val="0.62674094707521033"/>
          <c:h val="0.3607600511150908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'Indices-Reg1'!$BV$12:$BV$100</c:f>
              <c:numCache>
                <c:formatCode>General</c:formatCode>
                <c:ptCount val="89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</c:numCache>
            </c:numRef>
          </c:xVal>
          <c:yVal>
            <c:numRef>
              <c:f>'Indices-Reg1'!$BY$12:$BY$100</c:f>
              <c:numCache>
                <c:formatCode>General</c:formatCode>
                <c:ptCount val="89"/>
                <c:pt idx="0">
                  <c:v>6.4000000000000001E-2</c:v>
                </c:pt>
                <c:pt idx="1">
                  <c:v>0.16300000000000001</c:v>
                </c:pt>
                <c:pt idx="2">
                  <c:v>0.57099999999999995</c:v>
                </c:pt>
                <c:pt idx="3">
                  <c:v>-0.374</c:v>
                </c:pt>
                <c:pt idx="4">
                  <c:v>-0.29099999999999998</c:v>
                </c:pt>
                <c:pt idx="5">
                  <c:v>-6.2E-2</c:v>
                </c:pt>
                <c:pt idx="6">
                  <c:v>-0.58799999999999997</c:v>
                </c:pt>
                <c:pt idx="7">
                  <c:v>5.0999999999999997E-2</c:v>
                </c:pt>
                <c:pt idx="8">
                  <c:v>2.5000000000000001E-2</c:v>
                </c:pt>
                <c:pt idx="9">
                  <c:v>-0.316</c:v>
                </c:pt>
                <c:pt idx="10">
                  <c:v>0.75700000000000001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251660928"/>
        <c:axId val="251671296"/>
      </c:scatterChart>
      <c:valAx>
        <c:axId val="25166092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5317653712256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671296"/>
        <c:crossesAt val="-4"/>
        <c:crossBetween val="midCat"/>
        <c:majorUnit val="5"/>
        <c:minorUnit val="3.8539999999999988"/>
      </c:valAx>
      <c:valAx>
        <c:axId val="251671296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6609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 paperSize="170" orientation="landscape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'Indices-Reg1'!$CH$1:$CI$1</c:f>
          <c:strCache>
            <c:ptCount val="1"/>
            <c:pt idx="0">
              <c:v>ATL VEN_PS</c:v>
            </c:pt>
          </c:strCache>
        </c:strRef>
      </c:tx>
      <c:layout>
        <c:manualLayout>
          <c:xMode val="edge"/>
          <c:yMode val="edge"/>
          <c:x val="0.35376044568245213"/>
          <c:y val="6.9400630914826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7995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'Indices-Reg1'!$CH$12:$CH$100</c:f>
              <c:numCache>
                <c:formatCode>General</c:formatCode>
                <c:ptCount val="89"/>
                <c:pt idx="0">
                  <c:v>1983</c:v>
                </c:pt>
                <c:pt idx="1">
                  <c:v>1984</c:v>
                </c:pt>
                <c:pt idx="2">
                  <c:v>1985</c:v>
                </c:pt>
                <c:pt idx="3">
                  <c:v>1986</c:v>
                </c:pt>
                <c:pt idx="4">
                  <c:v>1987</c:v>
                </c:pt>
                <c:pt idx="5">
                  <c:v>1988</c:v>
                </c:pt>
                <c:pt idx="6">
                  <c:v>1989</c:v>
                </c:pt>
                <c:pt idx="7">
                  <c:v>1990</c:v>
                </c:pt>
                <c:pt idx="8">
                  <c:v>1991</c:v>
                </c:pt>
                <c:pt idx="9">
                  <c:v>1992</c:v>
                </c:pt>
                <c:pt idx="10">
                  <c:v>1993</c:v>
                </c:pt>
                <c:pt idx="11">
                  <c:v>1994</c:v>
                </c:pt>
                <c:pt idx="12">
                  <c:v>1995</c:v>
                </c:pt>
                <c:pt idx="13">
                  <c:v>1996</c:v>
                </c:pt>
                <c:pt idx="14">
                  <c:v>1997</c:v>
                </c:pt>
                <c:pt idx="15">
                  <c:v>1998</c:v>
                </c:pt>
                <c:pt idx="16">
                  <c:v>1999</c:v>
                </c:pt>
                <c:pt idx="17">
                  <c:v>2000</c:v>
                </c:pt>
                <c:pt idx="18">
                  <c:v>2001</c:v>
                </c:pt>
                <c:pt idx="19">
                  <c:v>2002</c:v>
                </c:pt>
                <c:pt idx="20">
                  <c:v>2003</c:v>
                </c:pt>
                <c:pt idx="21">
                  <c:v>2004</c:v>
                </c:pt>
                <c:pt idx="22">
                  <c:v>2005</c:v>
                </c:pt>
              </c:numCache>
            </c:numRef>
          </c:xVal>
          <c:yVal>
            <c:numRef>
              <c:f>'Indices-Reg1'!$CN$12:$CN$100</c:f>
              <c:numCache>
                <c:formatCode>General</c:formatCode>
                <c:ptCount val="89"/>
                <c:pt idx="0">
                  <c:v>13.589</c:v>
                </c:pt>
                <c:pt idx="1">
                  <c:v>6.0270000000000001</c:v>
                </c:pt>
                <c:pt idx="2">
                  <c:v>10.17</c:v>
                </c:pt>
                <c:pt idx="3">
                  <c:v>5.9770000000000003</c:v>
                </c:pt>
                <c:pt idx="4">
                  <c:v>4.5739999999999998</c:v>
                </c:pt>
                <c:pt idx="5">
                  <c:v>6.3040000000000003</c:v>
                </c:pt>
                <c:pt idx="6">
                  <c:v>13.656000000000001</c:v>
                </c:pt>
                <c:pt idx="7">
                  <c:v>7.0019999999999998</c:v>
                </c:pt>
                <c:pt idx="8">
                  <c:v>7.1509999999999998</c:v>
                </c:pt>
                <c:pt idx="9">
                  <c:v>4.8120000000000003</c:v>
                </c:pt>
                <c:pt idx="10">
                  <c:v>5.5110000000000001</c:v>
                </c:pt>
                <c:pt idx="11">
                  <c:v>6.72</c:v>
                </c:pt>
                <c:pt idx="12">
                  <c:v>3.0249999999999999</c:v>
                </c:pt>
                <c:pt idx="13">
                  <c:v>6.7770000000000001</c:v>
                </c:pt>
                <c:pt idx="14">
                  <c:v>4.569</c:v>
                </c:pt>
                <c:pt idx="15">
                  <c:v>3.7040000000000002</c:v>
                </c:pt>
                <c:pt idx="16">
                  <c:v>5.4340000000000002</c:v>
                </c:pt>
                <c:pt idx="17">
                  <c:v>6.6239999999999997</c:v>
                </c:pt>
                <c:pt idx="18">
                  <c:v>13.243</c:v>
                </c:pt>
                <c:pt idx="19">
                  <c:v>8.1809999999999992</c:v>
                </c:pt>
                <c:pt idx="20">
                  <c:v>3.9990000000000001</c:v>
                </c:pt>
                <c:pt idx="21">
                  <c:v>2.3929999999999998</c:v>
                </c:pt>
                <c:pt idx="22">
                  <c:v>1.226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'Indices-Reg1'!$CH$12:$CH$100</c:f>
              <c:numCache>
                <c:formatCode>General</c:formatCode>
                <c:ptCount val="89"/>
                <c:pt idx="0">
                  <c:v>1983</c:v>
                </c:pt>
                <c:pt idx="1">
                  <c:v>1984</c:v>
                </c:pt>
                <c:pt idx="2">
                  <c:v>1985</c:v>
                </c:pt>
                <c:pt idx="3">
                  <c:v>1986</c:v>
                </c:pt>
                <c:pt idx="4">
                  <c:v>1987</c:v>
                </c:pt>
                <c:pt idx="5">
                  <c:v>1988</c:v>
                </c:pt>
                <c:pt idx="6">
                  <c:v>1989</c:v>
                </c:pt>
                <c:pt idx="7">
                  <c:v>1990</c:v>
                </c:pt>
                <c:pt idx="8">
                  <c:v>1991</c:v>
                </c:pt>
                <c:pt idx="9">
                  <c:v>1992</c:v>
                </c:pt>
                <c:pt idx="10">
                  <c:v>1993</c:v>
                </c:pt>
                <c:pt idx="11">
                  <c:v>1994</c:v>
                </c:pt>
                <c:pt idx="12">
                  <c:v>1995</c:v>
                </c:pt>
                <c:pt idx="13">
                  <c:v>1996</c:v>
                </c:pt>
                <c:pt idx="14">
                  <c:v>1997</c:v>
                </c:pt>
                <c:pt idx="15">
                  <c:v>1998</c:v>
                </c:pt>
                <c:pt idx="16">
                  <c:v>1999</c:v>
                </c:pt>
                <c:pt idx="17">
                  <c:v>2000</c:v>
                </c:pt>
                <c:pt idx="18">
                  <c:v>2001</c:v>
                </c:pt>
                <c:pt idx="19">
                  <c:v>2002</c:v>
                </c:pt>
                <c:pt idx="20">
                  <c:v>2003</c:v>
                </c:pt>
                <c:pt idx="21">
                  <c:v>2004</c:v>
                </c:pt>
                <c:pt idx="22">
                  <c:v>2005</c:v>
                </c:pt>
              </c:numCache>
            </c:numRef>
          </c:xVal>
          <c:yVal>
            <c:numRef>
              <c:f>'Indices-Reg1'!$CO$12:$CO$100</c:f>
              <c:numCache>
                <c:formatCode>General</c:formatCode>
                <c:ptCount val="89"/>
                <c:pt idx="0">
                  <c:v>6.0419999999999998</c:v>
                </c:pt>
                <c:pt idx="1">
                  <c:v>6.6740000000000004</c:v>
                </c:pt>
                <c:pt idx="2">
                  <c:v>7.2859999999999996</c:v>
                </c:pt>
                <c:pt idx="3">
                  <c:v>7.4489999999999998</c:v>
                </c:pt>
                <c:pt idx="4">
                  <c:v>8.1129999999999995</c:v>
                </c:pt>
                <c:pt idx="5">
                  <c:v>7.9160000000000004</c:v>
                </c:pt>
                <c:pt idx="6">
                  <c:v>7.298</c:v>
                </c:pt>
                <c:pt idx="7">
                  <c:v>6.4459999999999997</c:v>
                </c:pt>
                <c:pt idx="8">
                  <c:v>6.3680000000000003</c:v>
                </c:pt>
                <c:pt idx="9">
                  <c:v>6.0229999999999997</c:v>
                </c:pt>
                <c:pt idx="10">
                  <c:v>5.2480000000000002</c:v>
                </c:pt>
                <c:pt idx="11">
                  <c:v>5.9020000000000001</c:v>
                </c:pt>
                <c:pt idx="12">
                  <c:v>6.2069999999999999</c:v>
                </c:pt>
                <c:pt idx="13">
                  <c:v>5.9109999999999996</c:v>
                </c:pt>
                <c:pt idx="14">
                  <c:v>5.2549999999999999</c:v>
                </c:pt>
                <c:pt idx="15">
                  <c:v>4.7910000000000004</c:v>
                </c:pt>
                <c:pt idx="16">
                  <c:v>4.6660000000000004</c:v>
                </c:pt>
                <c:pt idx="17">
                  <c:v>5.4020000000000001</c:v>
                </c:pt>
                <c:pt idx="18">
                  <c:v>5.2789999999999999</c:v>
                </c:pt>
                <c:pt idx="19">
                  <c:v>4.7750000000000004</c:v>
                </c:pt>
                <c:pt idx="20">
                  <c:v>4.0810000000000004</c:v>
                </c:pt>
                <c:pt idx="21">
                  <c:v>3.9009999999999998</c:v>
                </c:pt>
                <c:pt idx="22">
                  <c:v>3.782</c:v>
                </c:pt>
              </c:numCache>
            </c:numRef>
          </c:yVal>
        </c:ser>
        <c:axId val="251714176"/>
        <c:axId val="251790080"/>
      </c:scatterChart>
      <c:valAx>
        <c:axId val="25171417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61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790080"/>
        <c:crosses val="autoZero"/>
        <c:crossBetween val="midCat"/>
        <c:majorUnit val="5"/>
        <c:minorUnit val="3.8539999999999988"/>
      </c:valAx>
      <c:valAx>
        <c:axId val="251790080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45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7141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46"/>
          <c:y val="0.89274447949526814"/>
          <c:w val="0.42339832869080862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'Indices-Reg1'!$CH$1:$CI$1</c:f>
          <c:strCache>
            <c:ptCount val="1"/>
            <c:pt idx="0">
              <c:v>ATL VEN_PS</c:v>
            </c:pt>
          </c:strCache>
        </c:strRef>
      </c:tx>
      <c:layout>
        <c:manualLayout>
          <c:xMode val="edge"/>
          <c:yMode val="edge"/>
          <c:x val="0.29608978931590235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374"/>
          <c:y val="0.23174675020693891"/>
          <c:w val="0.52793368095004856"/>
          <c:h val="0.40635046611627718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'Indices-Reg1'!$CH$12:$CH$100</c:f>
              <c:numCache>
                <c:formatCode>General</c:formatCode>
                <c:ptCount val="89"/>
                <c:pt idx="0">
                  <c:v>1983</c:v>
                </c:pt>
                <c:pt idx="1">
                  <c:v>1984</c:v>
                </c:pt>
                <c:pt idx="2">
                  <c:v>1985</c:v>
                </c:pt>
                <c:pt idx="3">
                  <c:v>1986</c:v>
                </c:pt>
                <c:pt idx="4">
                  <c:v>1987</c:v>
                </c:pt>
                <c:pt idx="5">
                  <c:v>1988</c:v>
                </c:pt>
                <c:pt idx="6">
                  <c:v>1989</c:v>
                </c:pt>
                <c:pt idx="7">
                  <c:v>1990</c:v>
                </c:pt>
                <c:pt idx="8">
                  <c:v>1991</c:v>
                </c:pt>
                <c:pt idx="9">
                  <c:v>1992</c:v>
                </c:pt>
                <c:pt idx="10">
                  <c:v>1993</c:v>
                </c:pt>
                <c:pt idx="11">
                  <c:v>1994</c:v>
                </c:pt>
                <c:pt idx="12">
                  <c:v>1995</c:v>
                </c:pt>
                <c:pt idx="13">
                  <c:v>1996</c:v>
                </c:pt>
                <c:pt idx="14">
                  <c:v>1997</c:v>
                </c:pt>
                <c:pt idx="15">
                  <c:v>1998</c:v>
                </c:pt>
                <c:pt idx="16">
                  <c:v>1999</c:v>
                </c:pt>
                <c:pt idx="17">
                  <c:v>2000</c:v>
                </c:pt>
                <c:pt idx="18">
                  <c:v>2001</c:v>
                </c:pt>
                <c:pt idx="19">
                  <c:v>2002</c:v>
                </c:pt>
                <c:pt idx="20">
                  <c:v>2003</c:v>
                </c:pt>
                <c:pt idx="21">
                  <c:v>2004</c:v>
                </c:pt>
                <c:pt idx="22">
                  <c:v>2005</c:v>
                </c:pt>
              </c:numCache>
            </c:numRef>
          </c:xVal>
          <c:yVal>
            <c:numRef>
              <c:f>'Indices-Reg1'!$CP$12:$CP$100</c:f>
              <c:numCache>
                <c:formatCode>General</c:formatCode>
                <c:ptCount val="89"/>
                <c:pt idx="0">
                  <c:v>0.34799999999999998</c:v>
                </c:pt>
                <c:pt idx="1">
                  <c:v>0.13100000000000001</c:v>
                </c:pt>
                <c:pt idx="2">
                  <c:v>0</c:v>
                </c:pt>
                <c:pt idx="3">
                  <c:v>0.187</c:v>
                </c:pt>
                <c:pt idx="4">
                  <c:v>0.36199999999999999</c:v>
                </c:pt>
                <c:pt idx="5">
                  <c:v>0.191</c:v>
                </c:pt>
                <c:pt idx="6">
                  <c:v>0.104</c:v>
                </c:pt>
                <c:pt idx="7">
                  <c:v>5.3999999999999999E-2</c:v>
                </c:pt>
                <c:pt idx="8">
                  <c:v>4.2000000000000003E-2</c:v>
                </c:pt>
                <c:pt idx="9">
                  <c:v>0.189</c:v>
                </c:pt>
                <c:pt idx="10">
                  <c:v>6.6000000000000003E-2</c:v>
                </c:pt>
                <c:pt idx="11">
                  <c:v>3.7999999999999999E-2</c:v>
                </c:pt>
                <c:pt idx="12">
                  <c:v>0.42899999999999999</c:v>
                </c:pt>
                <c:pt idx="13">
                  <c:v>3.5999999999999997E-2</c:v>
                </c:pt>
                <c:pt idx="14">
                  <c:v>0.14799999999999999</c:v>
                </c:pt>
                <c:pt idx="15">
                  <c:v>0.20499999999999999</c:v>
                </c:pt>
                <c:pt idx="16">
                  <c:v>3.1E-2</c:v>
                </c:pt>
                <c:pt idx="17">
                  <c:v>1.7999999999999999E-2</c:v>
                </c:pt>
                <c:pt idx="18">
                  <c:v>0.59899999999999998</c:v>
                </c:pt>
                <c:pt idx="19">
                  <c:v>4.4999999999999998E-2</c:v>
                </c:pt>
                <c:pt idx="20">
                  <c:v>9.4E-2</c:v>
                </c:pt>
                <c:pt idx="21">
                  <c:v>0.32100000000000001</c:v>
                </c:pt>
                <c:pt idx="22">
                  <c:v>0.59399999999999997</c:v>
                </c:pt>
              </c:numCache>
            </c:numRef>
          </c:yVal>
        </c:ser>
        <c:axId val="251822464"/>
        <c:axId val="251825536"/>
      </c:scatterChart>
      <c:valAx>
        <c:axId val="25182246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7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825536"/>
        <c:crosses val="autoZero"/>
        <c:crossBetween val="midCat"/>
        <c:majorUnit val="5"/>
        <c:minorUnit val="3.8539999999999988"/>
      </c:valAx>
      <c:valAx>
        <c:axId val="25182553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822464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'Indices-Reg1'!$CH$1:$CI$1</c:f>
          <c:strCache>
            <c:ptCount val="1"/>
            <c:pt idx="0">
              <c:v>ATL VEN_PS</c:v>
            </c:pt>
          </c:strCache>
        </c:strRef>
      </c:tx>
      <c:layout>
        <c:manualLayout>
          <c:xMode val="edge"/>
          <c:yMode val="edge"/>
          <c:x val="0.35097493036211791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48"/>
          <c:y val="0.23734213889150763"/>
          <c:w val="0.62674094707521033"/>
          <c:h val="0.35759548926320484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'Indices-Reg1'!$CH$12:$CH$100</c:f>
              <c:numCache>
                <c:formatCode>General</c:formatCode>
                <c:ptCount val="89"/>
                <c:pt idx="0">
                  <c:v>1983</c:v>
                </c:pt>
                <c:pt idx="1">
                  <c:v>1984</c:v>
                </c:pt>
                <c:pt idx="2">
                  <c:v>1985</c:v>
                </c:pt>
                <c:pt idx="3">
                  <c:v>1986</c:v>
                </c:pt>
                <c:pt idx="4">
                  <c:v>1987</c:v>
                </c:pt>
                <c:pt idx="5">
                  <c:v>1988</c:v>
                </c:pt>
                <c:pt idx="6">
                  <c:v>1989</c:v>
                </c:pt>
                <c:pt idx="7">
                  <c:v>1990</c:v>
                </c:pt>
                <c:pt idx="8">
                  <c:v>1991</c:v>
                </c:pt>
                <c:pt idx="9">
                  <c:v>1992</c:v>
                </c:pt>
                <c:pt idx="10">
                  <c:v>1993</c:v>
                </c:pt>
                <c:pt idx="11">
                  <c:v>1994</c:v>
                </c:pt>
                <c:pt idx="12">
                  <c:v>1995</c:v>
                </c:pt>
                <c:pt idx="13">
                  <c:v>1996</c:v>
                </c:pt>
                <c:pt idx="14">
                  <c:v>1997</c:v>
                </c:pt>
                <c:pt idx="15">
                  <c:v>1998</c:v>
                </c:pt>
                <c:pt idx="16">
                  <c:v>1999</c:v>
                </c:pt>
                <c:pt idx="17">
                  <c:v>2000</c:v>
                </c:pt>
                <c:pt idx="18">
                  <c:v>2001</c:v>
                </c:pt>
                <c:pt idx="19">
                  <c:v>2002</c:v>
                </c:pt>
                <c:pt idx="20">
                  <c:v>2003</c:v>
                </c:pt>
                <c:pt idx="21">
                  <c:v>2004</c:v>
                </c:pt>
                <c:pt idx="22">
                  <c:v>2005</c:v>
                </c:pt>
              </c:numCache>
            </c:numRef>
          </c:xVal>
          <c:yVal>
            <c:numRef>
              <c:f>'Indices-Reg1'!$CK$12:$CK$100</c:f>
              <c:numCache>
                <c:formatCode>General</c:formatCode>
                <c:ptCount val="89"/>
                <c:pt idx="0">
                  <c:v>0.81</c:v>
                </c:pt>
                <c:pt idx="1">
                  <c:v>-0.10199999999999999</c:v>
                </c:pt>
                <c:pt idx="2">
                  <c:v>0.33300000000000002</c:v>
                </c:pt>
                <c:pt idx="3">
                  <c:v>-0.22</c:v>
                </c:pt>
                <c:pt idx="4">
                  <c:v>-0.57299999999999995</c:v>
                </c:pt>
                <c:pt idx="5">
                  <c:v>-0.22800000000000001</c:v>
                </c:pt>
                <c:pt idx="6">
                  <c:v>0.626</c:v>
                </c:pt>
                <c:pt idx="7">
                  <c:v>8.3000000000000004E-2</c:v>
                </c:pt>
                <c:pt idx="8">
                  <c:v>0.11600000000000001</c:v>
                </c:pt>
                <c:pt idx="9">
                  <c:v>-0.224</c:v>
                </c:pt>
                <c:pt idx="10">
                  <c:v>4.9000000000000002E-2</c:v>
                </c:pt>
                <c:pt idx="11">
                  <c:v>0.13</c:v>
                </c:pt>
                <c:pt idx="12">
                  <c:v>-0.71899999999999997</c:v>
                </c:pt>
                <c:pt idx="13">
                  <c:v>0.13700000000000001</c:v>
                </c:pt>
                <c:pt idx="14">
                  <c:v>-0.14000000000000001</c:v>
                </c:pt>
                <c:pt idx="15">
                  <c:v>-0.25700000000000001</c:v>
                </c:pt>
                <c:pt idx="16">
                  <c:v>0.152</c:v>
                </c:pt>
                <c:pt idx="17">
                  <c:v>0.20399999999999999</c:v>
                </c:pt>
                <c:pt idx="18">
                  <c:v>0.92</c:v>
                </c:pt>
                <c:pt idx="19">
                  <c:v>0.53800000000000003</c:v>
                </c:pt>
                <c:pt idx="20">
                  <c:v>-0.02</c:v>
                </c:pt>
                <c:pt idx="21">
                  <c:v>-0.48899999999999999</c:v>
                </c:pt>
                <c:pt idx="22">
                  <c:v>-1.127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252138624"/>
        <c:axId val="252140544"/>
      </c:scatterChart>
      <c:valAx>
        <c:axId val="25213862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21530918603695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140544"/>
        <c:crossesAt val="-4"/>
        <c:crossBetween val="midCat"/>
        <c:majorUnit val="5"/>
        <c:minorUnit val="3.8539999999999988"/>
      </c:valAx>
      <c:valAx>
        <c:axId val="252140544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48105666698101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1386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 paperSize="170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'Indices-Reg1'!$CT$1:$CU$1</c:f>
          <c:strCache>
            <c:ptCount val="1"/>
            <c:pt idx="0">
              <c:v>ATL EUR-FAD-PS</c:v>
            </c:pt>
          </c:strCache>
        </c:strRef>
      </c:tx>
      <c:layout>
        <c:manualLayout>
          <c:xMode val="edge"/>
          <c:yMode val="edge"/>
          <c:x val="0.35376044568245213"/>
          <c:y val="6.9400630914826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7995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'Indices-Reg1'!$CT$12:$CT$100</c:f>
              <c:numCache>
                <c:formatCode>General</c:formatCode>
                <c:ptCount val="89"/>
              </c:numCache>
            </c:numRef>
          </c:xVal>
          <c:yVal>
            <c:numRef>
              <c:f>'Indices-Reg1'!$CZ$12:$CZ$100</c:f>
              <c:numCache>
                <c:formatCode>General</c:formatCode>
                <c:ptCount val="89"/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'Indices-Reg1'!$CT$12:$CT$100</c:f>
              <c:numCache>
                <c:formatCode>General</c:formatCode>
                <c:ptCount val="89"/>
              </c:numCache>
            </c:numRef>
          </c:xVal>
          <c:yVal>
            <c:numRef>
              <c:f>'Indices-Reg1'!$DA$12:$DA$100</c:f>
              <c:numCache>
                <c:formatCode>General</c:formatCode>
                <c:ptCount val="89"/>
              </c:numCache>
            </c:numRef>
          </c:yVal>
        </c:ser>
        <c:axId val="251933824"/>
        <c:axId val="251935744"/>
      </c:scatterChart>
      <c:valAx>
        <c:axId val="25193382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61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35744"/>
        <c:crosses val="autoZero"/>
        <c:crossBetween val="midCat"/>
        <c:majorUnit val="5"/>
        <c:minorUnit val="3.8539999999999988"/>
      </c:valAx>
      <c:valAx>
        <c:axId val="251935744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45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338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46"/>
          <c:y val="0.89274447949526814"/>
          <c:w val="0.42339832869080862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'Indices-Reg1'!$CT$1:$CU$1</c:f>
          <c:strCache>
            <c:ptCount val="1"/>
            <c:pt idx="0">
              <c:v>ATL EUR-FAD-PS</c:v>
            </c:pt>
          </c:strCache>
        </c:strRef>
      </c:tx>
      <c:layout>
        <c:manualLayout>
          <c:xMode val="edge"/>
          <c:yMode val="edge"/>
          <c:x val="0.29608978931590235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374"/>
          <c:y val="0.23174675020693891"/>
          <c:w val="0.52793368095004856"/>
          <c:h val="0.40635046611627718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'Indices-Reg1'!$CT$12:$CT$100</c:f>
              <c:numCache>
                <c:formatCode>General</c:formatCode>
                <c:ptCount val="89"/>
              </c:numCache>
            </c:numRef>
          </c:xVal>
          <c:yVal>
            <c:numRef>
              <c:f>'Indices-Reg1'!$DB$12:$DB$100</c:f>
              <c:numCache>
                <c:formatCode>General</c:formatCode>
                <c:ptCount val="89"/>
              </c:numCache>
            </c:numRef>
          </c:yVal>
        </c:ser>
        <c:axId val="251964032"/>
        <c:axId val="251971456"/>
      </c:scatterChart>
      <c:valAx>
        <c:axId val="25196403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7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71456"/>
        <c:crosses val="autoZero"/>
        <c:crossBetween val="midCat"/>
        <c:majorUnit val="5"/>
        <c:minorUnit val="3.8539999999999988"/>
      </c:valAx>
      <c:valAx>
        <c:axId val="25197145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64032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'Indices-Reg1'!$CT$1:$CU$1</c:f>
          <c:strCache>
            <c:ptCount val="1"/>
            <c:pt idx="0">
              <c:v>ATL EUR-FAD-PS</c:v>
            </c:pt>
          </c:strCache>
        </c:strRef>
      </c:tx>
      <c:layout>
        <c:manualLayout>
          <c:xMode val="edge"/>
          <c:yMode val="edge"/>
          <c:x val="0.35097493036211791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48"/>
          <c:y val="0.23734213889150763"/>
          <c:w val="0.62674094707521033"/>
          <c:h val="0.35759548926320484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'Indices-Reg1'!$CT$12:$CT$100</c:f>
              <c:numCache>
                <c:formatCode>General</c:formatCode>
                <c:ptCount val="89"/>
              </c:numCache>
            </c:numRef>
          </c:xVal>
          <c:yVal>
            <c:numRef>
              <c:f>'Indices-Reg1'!$CW$12:$CW$100</c:f>
              <c:numCache>
                <c:formatCode>General</c:formatCode>
                <c:ptCount val="89"/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252190080"/>
        <c:axId val="252220928"/>
      </c:scatterChart>
      <c:valAx>
        <c:axId val="25219008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21530918603695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220928"/>
        <c:crossesAt val="-4"/>
        <c:crossBetween val="midCat"/>
        <c:majorUnit val="5"/>
        <c:minorUnit val="3.8539999999999988"/>
      </c:valAx>
      <c:valAx>
        <c:axId val="252220928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48105666698101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1900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 paperSize="170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'Indices-Reg1'!$DF$1:$DG$1</c:f>
          <c:strCache>
            <c:ptCount val="1"/>
            <c:pt idx="0">
              <c:v>ATL EUR-PS 3%</c:v>
            </c:pt>
          </c:strCache>
        </c:strRef>
      </c:tx>
      <c:layout>
        <c:manualLayout>
          <c:xMode val="edge"/>
          <c:yMode val="edge"/>
          <c:x val="0.26257019052542135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4078258770320735"/>
          <c:y val="0.23174675020693891"/>
          <c:w val="0.53910688054687572"/>
          <c:h val="0.40635046611627718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'Indices-Reg1'!$DF$12:$DF$100</c:f>
              <c:numCache>
                <c:formatCode>General</c:formatCode>
                <c:ptCount val="89"/>
              </c:numCache>
            </c:numRef>
          </c:xVal>
          <c:yVal>
            <c:numRef>
              <c:f>'Indices-Reg1'!$DN$12:$DN$100</c:f>
              <c:numCache>
                <c:formatCode>General</c:formatCode>
                <c:ptCount val="89"/>
              </c:numCache>
            </c:numRef>
          </c:yVal>
        </c:ser>
        <c:axId val="252225024"/>
        <c:axId val="252387328"/>
      </c:scatterChart>
      <c:valAx>
        <c:axId val="25222502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3910688054687572"/>
              <c:y val="0.815875545249087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387328"/>
        <c:crosses val="autoZero"/>
        <c:crossBetween val="midCat"/>
        <c:majorUnit val="5"/>
        <c:minorUnit val="3.8539999999999988"/>
      </c:valAx>
      <c:valAx>
        <c:axId val="25238732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225024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'Indices-Reg1'!$DF$1:$DG$1</c:f>
          <c:strCache>
            <c:ptCount val="1"/>
            <c:pt idx="0">
              <c:v>ATL EUR-PS 3%</c:v>
            </c:pt>
          </c:strCache>
        </c:strRef>
      </c:tx>
      <c:layout>
        <c:manualLayout>
          <c:xMode val="edge"/>
          <c:yMode val="edge"/>
          <c:x val="0.31754874651810583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48"/>
          <c:y val="0.23734213889150763"/>
          <c:w val="0.62674094707521033"/>
          <c:h val="0.3607600511150908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'Indices-Reg1'!$DF$12:$DF$100</c:f>
              <c:numCache>
                <c:formatCode>General</c:formatCode>
                <c:ptCount val="89"/>
              </c:numCache>
            </c:numRef>
          </c:xVal>
          <c:yVal>
            <c:numRef>
              <c:f>'Indices-Reg1'!$DI$12:$DI$100</c:f>
              <c:numCache>
                <c:formatCode>General</c:formatCode>
                <c:ptCount val="89"/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252442112"/>
        <c:axId val="252444032"/>
      </c:scatterChart>
      <c:valAx>
        <c:axId val="25244211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5317653712256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444032"/>
        <c:crossesAt val="-4"/>
        <c:crossBetween val="midCat"/>
        <c:majorUnit val="5"/>
        <c:minorUnit val="3.8539999999999988"/>
      </c:valAx>
      <c:valAx>
        <c:axId val="252444032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4421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 paperSize="170" orientation="landscape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'Indices-Reg1'!$DR$1:$DS$1</c:f>
          <c:strCache>
            <c:ptCount val="1"/>
            <c:pt idx="0">
              <c:v>ATL EU-DAKAR</c:v>
            </c:pt>
          </c:strCache>
        </c:strRef>
      </c:tx>
      <c:layout>
        <c:manualLayout>
          <c:xMode val="edge"/>
          <c:yMode val="edge"/>
          <c:x val="0.28212328981986923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5977689062621478"/>
          <c:y val="0.20886108222452629"/>
          <c:w val="0.66480537601117695"/>
          <c:h val="0.4018993551896195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'Indices-Reg1'!$DR$12:$DR$100</c:f>
              <c:numCache>
                <c:formatCode>General</c:formatCode>
                <c:ptCount val="89"/>
              </c:numCache>
            </c:numRef>
          </c:xVal>
          <c:yVal>
            <c:numRef>
              <c:f>'Indices-Reg1'!$DX$12:$DX$100</c:f>
              <c:numCache>
                <c:formatCode>General</c:formatCode>
                <c:ptCount val="89"/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'Indices-Reg1'!$DR$12:$DR$100</c:f>
              <c:numCache>
                <c:formatCode>General</c:formatCode>
                <c:ptCount val="89"/>
              </c:numCache>
            </c:numRef>
          </c:xVal>
          <c:yVal>
            <c:numRef>
              <c:f>'Indices-Reg1'!$DY$12:$DY$100</c:f>
              <c:numCache>
                <c:formatCode>General</c:formatCode>
                <c:ptCount val="89"/>
              </c:numCache>
            </c:numRef>
          </c:yVal>
        </c:ser>
        <c:axId val="252356096"/>
        <c:axId val="252358016"/>
      </c:scatterChart>
      <c:valAx>
        <c:axId val="25235609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2234708115163442"/>
              <c:y val="0.7879759011198036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358016"/>
        <c:crosses val="autoZero"/>
        <c:crossBetween val="midCat"/>
        <c:majorUnit val="5"/>
        <c:minorUnit val="3.8539999999999988"/>
      </c:valAx>
      <c:valAx>
        <c:axId val="252358016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7.2625797379371859E-2"/>
              <c:y val="0.32594987074433723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3560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6312898689686096"/>
          <c:y val="0.89240644223206556"/>
          <c:w val="0.42458158467940593"/>
          <c:h val="8.5443170000942509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 paperSize="170" orientation="landscape"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'Indices-Reg1'!$DR$1:$DS$1</c:f>
          <c:strCache>
            <c:ptCount val="1"/>
            <c:pt idx="0">
              <c:v>ATL EU-DAKAR</c:v>
            </c:pt>
          </c:strCache>
        </c:strRef>
      </c:tx>
      <c:layout>
        <c:manualLayout>
          <c:xMode val="edge"/>
          <c:yMode val="edge"/>
          <c:x val="0.25139699092859491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374"/>
          <c:y val="0.23174675020693891"/>
          <c:w val="0.52793368095004856"/>
          <c:h val="0.40635046611627718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'Indices-Reg1'!$DR$12:$DR$100</c:f>
              <c:numCache>
                <c:formatCode>General</c:formatCode>
                <c:ptCount val="89"/>
              </c:numCache>
            </c:numRef>
          </c:xVal>
          <c:yVal>
            <c:numRef>
              <c:f>'Indices-Reg1'!$DZ$12:$DZ$100</c:f>
              <c:numCache>
                <c:formatCode>General</c:formatCode>
                <c:ptCount val="89"/>
              </c:numCache>
            </c:numRef>
          </c:yVal>
        </c:ser>
        <c:axId val="252378112"/>
        <c:axId val="252541184"/>
      </c:scatterChart>
      <c:valAx>
        <c:axId val="25237811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7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541184"/>
        <c:crosses val="autoZero"/>
        <c:crossBetween val="midCat"/>
        <c:majorUnit val="5"/>
        <c:minorUnit val="3.8539999999999988"/>
      </c:valAx>
      <c:valAx>
        <c:axId val="25254118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378112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'Indices-Reg1'!$DR$1:$DS$1</c:f>
          <c:strCache>
            <c:ptCount val="1"/>
            <c:pt idx="0">
              <c:v>ATL EU-DAKAR</c:v>
            </c:pt>
          </c:strCache>
        </c:strRef>
      </c:tx>
      <c:layout>
        <c:manualLayout>
          <c:xMode val="edge"/>
          <c:yMode val="edge"/>
          <c:x val="0.30640668523677039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48"/>
          <c:y val="0.23734213889150763"/>
          <c:w val="0.62674094707521033"/>
          <c:h val="0.3607600511150908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'Indices-Reg1'!$DR$12:$DR$100</c:f>
              <c:numCache>
                <c:formatCode>General</c:formatCode>
                <c:ptCount val="89"/>
              </c:numCache>
            </c:numRef>
          </c:xVal>
          <c:yVal>
            <c:numRef>
              <c:f>'Indices-Reg1'!$DU$12:$DU$100</c:f>
              <c:numCache>
                <c:formatCode>General</c:formatCode>
                <c:ptCount val="89"/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252653952"/>
        <c:axId val="252655872"/>
      </c:scatterChart>
      <c:valAx>
        <c:axId val="25265395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5317653712256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655872"/>
        <c:crossesAt val="-4"/>
        <c:crossBetween val="midCat"/>
        <c:majorUnit val="5"/>
        <c:minorUnit val="3.8539999999999988"/>
      </c:valAx>
      <c:valAx>
        <c:axId val="252655872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6539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 paperSize="170" orientation="landscape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'Indices-Reg1'!$ED$1:$EE$1</c:f>
          <c:strCache>
            <c:ptCount val="1"/>
            <c:pt idx="0">
              <c:v>ATL URU-LL</c:v>
            </c:pt>
          </c:strCache>
        </c:strRef>
      </c:tx>
      <c:layout>
        <c:manualLayout>
          <c:xMode val="edge"/>
          <c:yMode val="edge"/>
          <c:x val="0.326816088207175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5977689062621478"/>
          <c:y val="0.20886108222452629"/>
          <c:w val="0.66480537601117695"/>
          <c:h val="0.4018993551896195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'Indices-Reg1'!$ED$12:$ED$100</c:f>
              <c:numCache>
                <c:formatCode>General</c:formatCode>
                <c:ptCount val="89"/>
              </c:numCache>
            </c:numRef>
          </c:xVal>
          <c:yVal>
            <c:numRef>
              <c:f>'Indices-Reg1'!$EJ$12:$EJ$100</c:f>
              <c:numCache>
                <c:formatCode>General</c:formatCode>
                <c:ptCount val="89"/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'Indices-Reg1'!$ED$12:$ED$100</c:f>
              <c:numCache>
                <c:formatCode>General</c:formatCode>
                <c:ptCount val="89"/>
              </c:numCache>
            </c:numRef>
          </c:xVal>
          <c:yVal>
            <c:numRef>
              <c:f>'Indices-Reg1'!$EK$12:$EK$100</c:f>
              <c:numCache>
                <c:formatCode>General</c:formatCode>
                <c:ptCount val="89"/>
              </c:numCache>
            </c:numRef>
          </c:yVal>
        </c:ser>
        <c:axId val="252576512"/>
        <c:axId val="252578048"/>
      </c:scatterChart>
      <c:valAx>
        <c:axId val="25257651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2234708115163442"/>
              <c:y val="0.7879759011198036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578048"/>
        <c:crosses val="autoZero"/>
        <c:crossBetween val="midCat"/>
        <c:majorUnit val="5"/>
        <c:minorUnit val="3.8539999999999988"/>
      </c:valAx>
      <c:valAx>
        <c:axId val="252578048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8.0151061501241141E-2"/>
              <c:y val="0.31303266166571875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5765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6312898689686096"/>
          <c:y val="0.89240644223206556"/>
          <c:w val="0.42458158467940593"/>
          <c:h val="8.5443170000942509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 paperSize="170" orientation="landscape"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'Indices-Reg1'!$ED$1:$EE$1</c:f>
          <c:strCache>
            <c:ptCount val="1"/>
            <c:pt idx="0">
              <c:v>ATL URU-LL</c:v>
            </c:pt>
          </c:strCache>
        </c:strRef>
      </c:tx>
      <c:layout>
        <c:manualLayout>
          <c:xMode val="edge"/>
          <c:yMode val="edge"/>
          <c:x val="0.29608978931590235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1564288861034773"/>
          <c:y val="0.23174675020693891"/>
          <c:w val="0.56424657963973524"/>
          <c:h val="0.40635046611627718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'Indices-Reg1'!$ED$12:$ED$100</c:f>
              <c:numCache>
                <c:formatCode>General</c:formatCode>
                <c:ptCount val="89"/>
              </c:numCache>
            </c:numRef>
          </c:xVal>
          <c:yVal>
            <c:numRef>
              <c:f>'Indices-Reg1'!$EL$12:$EL$100</c:f>
              <c:numCache>
                <c:formatCode>General</c:formatCode>
                <c:ptCount val="89"/>
              </c:numCache>
            </c:numRef>
          </c:yVal>
        </c:ser>
        <c:axId val="252602240"/>
        <c:axId val="252621952"/>
      </c:scatterChart>
      <c:valAx>
        <c:axId val="25260224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2793368095004856"/>
              <c:y val="0.815875545249087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621952"/>
        <c:crosses val="autoZero"/>
        <c:crossBetween val="midCat"/>
        <c:majorUnit val="5"/>
        <c:minorUnit val="3.8539999999999988"/>
      </c:valAx>
      <c:valAx>
        <c:axId val="25262195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602240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'Indices-Reg1'!$ED$1:$EE$1</c:f>
          <c:strCache>
            <c:ptCount val="1"/>
            <c:pt idx="0">
              <c:v>ATL URU-LL</c:v>
            </c:pt>
          </c:strCache>
        </c:strRef>
      </c:tx>
      <c:layout>
        <c:manualLayout>
          <c:xMode val="edge"/>
          <c:yMode val="edge"/>
          <c:x val="0.35097493036211791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48"/>
          <c:y val="0.23734213889150763"/>
          <c:w val="0.62674094707521033"/>
          <c:h val="0.35759548926320484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'Indices-Reg1'!$ED$12:$ED$100</c:f>
              <c:numCache>
                <c:formatCode>General</c:formatCode>
                <c:ptCount val="89"/>
              </c:numCache>
            </c:numRef>
          </c:xVal>
          <c:yVal>
            <c:numRef>
              <c:f>'Indices-Reg1'!$EG$12:$EG$100</c:f>
              <c:numCache>
                <c:formatCode>General</c:formatCode>
                <c:ptCount val="89"/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253065856"/>
        <c:axId val="253072128"/>
      </c:scatterChart>
      <c:valAx>
        <c:axId val="25306585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21530918603695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072128"/>
        <c:crossesAt val="-4"/>
        <c:crossBetween val="midCat"/>
        <c:majorUnit val="5"/>
        <c:minorUnit val="3.8539999999999988"/>
      </c:valAx>
      <c:valAx>
        <c:axId val="253072128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48105666698101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0658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 paperSize="170" orientation="landscape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'Indices-Reg1'!$EP$1:$EQ$1</c:f>
          <c:strCache>
            <c:ptCount val="1"/>
            <c:pt idx="0">
              <c:v>ATL BRA-URU-LL</c:v>
            </c:pt>
          </c:strCache>
        </c:strRef>
      </c:tx>
      <c:layout>
        <c:manualLayout>
          <c:xMode val="edge"/>
          <c:yMode val="edge"/>
          <c:x val="0.35376044568245213"/>
          <c:y val="6.9400630914826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7995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'Indices-Reg1'!$EP$12:$EP$100</c:f>
              <c:numCache>
                <c:formatCode>General</c:formatCode>
                <c:ptCount val="89"/>
              </c:numCache>
            </c:numRef>
          </c:xVal>
          <c:yVal>
            <c:numRef>
              <c:f>'Indices-Reg1'!$EV$12:$EV$100</c:f>
              <c:numCache>
                <c:formatCode>General</c:formatCode>
                <c:ptCount val="89"/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'Indices-Reg1'!$EP$12:$EP$100</c:f>
              <c:numCache>
                <c:formatCode>General</c:formatCode>
                <c:ptCount val="89"/>
              </c:numCache>
            </c:numRef>
          </c:xVal>
          <c:yVal>
            <c:numRef>
              <c:f>'Indices-Reg1'!$EW$12:$EW$100</c:f>
              <c:numCache>
                <c:formatCode>General</c:formatCode>
                <c:ptCount val="89"/>
              </c:numCache>
            </c:numRef>
          </c:yVal>
        </c:ser>
        <c:axId val="253123200"/>
        <c:axId val="253129472"/>
      </c:scatterChart>
      <c:valAx>
        <c:axId val="25312320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61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129472"/>
        <c:crosses val="autoZero"/>
        <c:crossBetween val="midCat"/>
        <c:majorUnit val="5"/>
        <c:minorUnit val="3.8539999999999988"/>
      </c:valAx>
      <c:valAx>
        <c:axId val="253129472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45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1232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46"/>
          <c:y val="0.89274447949526814"/>
          <c:w val="0.42339832869080862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'Indices-Reg1'!$EP$1:$EQ$1</c:f>
          <c:strCache>
            <c:ptCount val="1"/>
            <c:pt idx="0">
              <c:v>ATL BRA-URU-LL</c:v>
            </c:pt>
          </c:strCache>
        </c:strRef>
      </c:tx>
      <c:layout>
        <c:manualLayout>
          <c:xMode val="edge"/>
          <c:yMode val="edge"/>
          <c:x val="0.29608978931590235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374"/>
          <c:y val="0.23174675020693891"/>
          <c:w val="0.52793368095004856"/>
          <c:h val="0.40635046611627718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'Indices-Reg1'!$EP$12:$EP$100</c:f>
              <c:numCache>
                <c:formatCode>General</c:formatCode>
                <c:ptCount val="89"/>
              </c:numCache>
            </c:numRef>
          </c:xVal>
          <c:yVal>
            <c:numRef>
              <c:f>'Indices-Reg1'!$EX$12:$EX$100</c:f>
              <c:numCache>
                <c:formatCode>General</c:formatCode>
                <c:ptCount val="89"/>
              </c:numCache>
            </c:numRef>
          </c:yVal>
        </c:ser>
        <c:axId val="253153664"/>
        <c:axId val="253156736"/>
      </c:scatterChart>
      <c:valAx>
        <c:axId val="25315366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7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156736"/>
        <c:crosses val="autoZero"/>
        <c:crossBetween val="midCat"/>
        <c:majorUnit val="5"/>
        <c:minorUnit val="3.8539999999999988"/>
      </c:valAx>
      <c:valAx>
        <c:axId val="25315673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153664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'Indices-Reg1'!$EP$1:$EQ$1</c:f>
          <c:strCache>
            <c:ptCount val="1"/>
            <c:pt idx="0">
              <c:v>ATL BRA-URU-LL</c:v>
            </c:pt>
          </c:strCache>
        </c:strRef>
      </c:tx>
      <c:layout>
        <c:manualLayout>
          <c:xMode val="edge"/>
          <c:yMode val="edge"/>
          <c:x val="0.35097493036211791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48"/>
          <c:y val="0.23734213889150763"/>
          <c:w val="0.62674094707521033"/>
          <c:h val="0.3607600511150908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'Indices-Reg1'!$EP$12:$EP$100</c:f>
              <c:numCache>
                <c:formatCode>General</c:formatCode>
                <c:ptCount val="89"/>
              </c:numCache>
            </c:numRef>
          </c:xVal>
          <c:yVal>
            <c:numRef>
              <c:f>'Indices-Reg1'!$ES$12:$ES$100</c:f>
              <c:numCache>
                <c:formatCode>General</c:formatCode>
                <c:ptCount val="89"/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253007744"/>
        <c:axId val="253026304"/>
      </c:scatterChart>
      <c:valAx>
        <c:axId val="25300774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5317653712256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026304"/>
        <c:crossesAt val="-4"/>
        <c:crossBetween val="midCat"/>
        <c:majorUnit val="5"/>
        <c:minorUnit val="3.8539999999999988"/>
      </c:valAx>
      <c:valAx>
        <c:axId val="253026304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0077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 paperSize="170" orientation="landscape"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'Indices-Reg1'!$FB$1:$FC$1</c:f>
          <c:strCache>
            <c:ptCount val="1"/>
            <c:pt idx="0">
              <c:v>ATL CHIN-TAI-LL</c:v>
            </c:pt>
          </c:strCache>
        </c:strRef>
      </c:tx>
      <c:layout>
        <c:manualLayout>
          <c:xMode val="edge"/>
          <c:yMode val="edge"/>
          <c:x val="0.32869080779944493"/>
          <c:y val="6.9400630914826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7995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'Indices-Reg1'!$FB$12:$FB$100</c:f>
              <c:numCache>
                <c:formatCode>General</c:formatCode>
                <c:ptCount val="89"/>
              </c:numCache>
            </c:numRef>
          </c:xVal>
          <c:yVal>
            <c:numRef>
              <c:f>'Indices-Reg1'!$FH$12:$FH$100</c:f>
              <c:numCache>
                <c:formatCode>General</c:formatCode>
                <c:ptCount val="89"/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'Indices-Reg1'!$FB$12:$FB$100</c:f>
              <c:numCache>
                <c:formatCode>General</c:formatCode>
                <c:ptCount val="89"/>
              </c:numCache>
            </c:numRef>
          </c:xVal>
          <c:yVal>
            <c:numRef>
              <c:f>'Indices-Reg1'!$FI$12:$FI$100</c:f>
              <c:numCache>
                <c:formatCode>General</c:formatCode>
                <c:ptCount val="89"/>
              </c:numCache>
            </c:numRef>
          </c:yVal>
        </c:ser>
        <c:axId val="253325312"/>
        <c:axId val="253327232"/>
      </c:scatterChart>
      <c:valAx>
        <c:axId val="25332531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61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327232"/>
        <c:crosses val="autoZero"/>
        <c:crossBetween val="midCat"/>
        <c:majorUnit val="5"/>
        <c:minorUnit val="3.8539999999999988"/>
      </c:valAx>
      <c:valAx>
        <c:axId val="253327232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45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3253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46"/>
          <c:y val="0.89274447949526814"/>
          <c:w val="0.42339832869080862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'Indices-Reg1'!$FB$1:$FC$1</c:f>
          <c:strCache>
            <c:ptCount val="1"/>
            <c:pt idx="0">
              <c:v>ATL CHIN-TAI-LL</c:v>
            </c:pt>
          </c:strCache>
        </c:strRef>
      </c:tx>
      <c:layout>
        <c:manualLayout>
          <c:xMode val="edge"/>
          <c:yMode val="edge"/>
          <c:x val="0.27095009022304201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374"/>
          <c:y val="0.23174675020693891"/>
          <c:w val="0.52793368095004856"/>
          <c:h val="0.40635046611627718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'Indices-Reg1'!$FB$12:$FB$100</c:f>
              <c:numCache>
                <c:formatCode>General</c:formatCode>
                <c:ptCount val="89"/>
              </c:numCache>
            </c:numRef>
          </c:xVal>
          <c:yVal>
            <c:numRef>
              <c:f>'Indices-Reg1'!$FJ$12:$FJ$100</c:f>
              <c:numCache>
                <c:formatCode>General</c:formatCode>
                <c:ptCount val="89"/>
              </c:numCache>
            </c:numRef>
          </c:yVal>
        </c:ser>
        <c:axId val="253344768"/>
        <c:axId val="253438208"/>
      </c:scatterChart>
      <c:valAx>
        <c:axId val="25334476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7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438208"/>
        <c:crosses val="autoZero"/>
        <c:crossBetween val="midCat"/>
        <c:majorUnit val="5"/>
        <c:minorUnit val="3.8539999999999988"/>
      </c:valAx>
      <c:valAx>
        <c:axId val="25343820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344768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'Indices-Reg1'!$FB$1:$FC$1</c:f>
          <c:strCache>
            <c:ptCount val="1"/>
            <c:pt idx="0">
              <c:v>ATL CHIN-TAI-LL</c:v>
            </c:pt>
          </c:strCache>
        </c:strRef>
      </c:tx>
      <c:layout>
        <c:manualLayout>
          <c:xMode val="edge"/>
          <c:yMode val="edge"/>
          <c:x val="0.32590529247910882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48"/>
          <c:y val="0.23734213889150763"/>
          <c:w val="0.62674094707521033"/>
          <c:h val="0.3607600511150908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'Indices-Reg1'!$FB$12:$FB$100</c:f>
              <c:numCache>
                <c:formatCode>General</c:formatCode>
                <c:ptCount val="89"/>
              </c:numCache>
            </c:numRef>
          </c:xVal>
          <c:yVal>
            <c:numRef>
              <c:f>'Indices-Reg1'!$FE$12:$FE$100</c:f>
              <c:numCache>
                <c:formatCode>General</c:formatCode>
                <c:ptCount val="89"/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253496704"/>
        <c:axId val="253507072"/>
      </c:scatterChart>
      <c:valAx>
        <c:axId val="25349670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5317653712256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07072"/>
        <c:crossesAt val="-4"/>
        <c:crossBetween val="midCat"/>
        <c:majorUnit val="5"/>
        <c:minorUnit val="3.8539999999999988"/>
      </c:valAx>
      <c:valAx>
        <c:axId val="253507072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496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 paperSize="170" orientation="landscape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'Indices-Reg1'!$FN$1:$FO$1</c:f>
          <c:strCache>
            <c:ptCount val="1"/>
            <c:pt idx="0">
              <c:v>ATL TROP-PS</c:v>
            </c:pt>
          </c:strCache>
        </c:strRef>
      </c:tx>
      <c:layout>
        <c:manualLayout>
          <c:xMode val="edge"/>
          <c:yMode val="edge"/>
          <c:x val="0.32869080779944493"/>
          <c:y val="6.9400630914826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7995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'Indices-Reg1'!$FN$12:$FN$100</c:f>
              <c:numCache>
                <c:formatCode>General</c:formatCode>
                <c:ptCount val="89"/>
              </c:numCache>
            </c:numRef>
          </c:xVal>
          <c:yVal>
            <c:numRef>
              <c:f>'Indices-Reg1'!$FT$12:$FT$100</c:f>
              <c:numCache>
                <c:formatCode>General</c:formatCode>
                <c:ptCount val="89"/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'Indices-Reg1'!$FN$12:$FN$100</c:f>
              <c:numCache>
                <c:formatCode>General</c:formatCode>
                <c:ptCount val="89"/>
              </c:numCache>
            </c:numRef>
          </c:xVal>
          <c:yVal>
            <c:numRef>
              <c:f>'Indices-Reg1'!$FU$12:$FU$100</c:f>
              <c:numCache>
                <c:formatCode>General</c:formatCode>
                <c:ptCount val="89"/>
              </c:numCache>
            </c:numRef>
          </c:yVal>
        </c:ser>
        <c:axId val="253534976"/>
        <c:axId val="253536896"/>
      </c:scatterChart>
      <c:valAx>
        <c:axId val="25353497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61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36896"/>
        <c:crosses val="autoZero"/>
        <c:crossBetween val="midCat"/>
        <c:majorUnit val="5"/>
        <c:minorUnit val="3.8539999999999988"/>
      </c:valAx>
      <c:valAx>
        <c:axId val="253536896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45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349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46"/>
          <c:y val="0.89274447949526814"/>
          <c:w val="0.42339832869080862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'Indices-Reg1'!$FN$1:$FO$1</c:f>
          <c:strCache>
            <c:ptCount val="1"/>
            <c:pt idx="0">
              <c:v>ATL TROP-PS</c:v>
            </c:pt>
          </c:strCache>
        </c:strRef>
      </c:tx>
      <c:layout>
        <c:manualLayout>
          <c:xMode val="edge"/>
          <c:yMode val="edge"/>
          <c:x val="0.27095009022304201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374"/>
          <c:y val="0.23174675020693891"/>
          <c:w val="0.52793368095004856"/>
          <c:h val="0.40635046611627718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'Indices-Reg1'!$FN$12:$FN$100</c:f>
              <c:numCache>
                <c:formatCode>General</c:formatCode>
                <c:ptCount val="89"/>
              </c:numCache>
            </c:numRef>
          </c:xVal>
          <c:yVal>
            <c:numRef>
              <c:f>'Indices-Reg1'!$FV$12:$FV$100</c:f>
              <c:numCache>
                <c:formatCode>General</c:formatCode>
                <c:ptCount val="89"/>
              </c:numCache>
            </c:numRef>
          </c:yVal>
        </c:ser>
        <c:axId val="253896960"/>
        <c:axId val="253920768"/>
      </c:scatterChart>
      <c:valAx>
        <c:axId val="25389696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7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920768"/>
        <c:crosses val="autoZero"/>
        <c:crossBetween val="midCat"/>
        <c:majorUnit val="5"/>
        <c:minorUnit val="3.8539999999999988"/>
      </c:valAx>
      <c:valAx>
        <c:axId val="25392076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896960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'Indices-Reg1'!$FN$1:$FO$1</c:f>
          <c:strCache>
            <c:ptCount val="1"/>
            <c:pt idx="0">
              <c:v>ATL TROP-PS</c:v>
            </c:pt>
          </c:strCache>
        </c:strRef>
      </c:tx>
      <c:layout>
        <c:manualLayout>
          <c:xMode val="edge"/>
          <c:yMode val="edge"/>
          <c:x val="0.32590529247910882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48"/>
          <c:y val="0.23734213889150763"/>
          <c:w val="0.62674094707521033"/>
          <c:h val="0.3607600511150908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'Indices-Reg1'!$FN$12:$FN$100</c:f>
              <c:numCache>
                <c:formatCode>General</c:formatCode>
                <c:ptCount val="89"/>
              </c:numCache>
            </c:numRef>
          </c:xVal>
          <c:yVal>
            <c:numRef>
              <c:f>'Indices-Reg1'!$FQ$12:$FQ$100</c:f>
              <c:numCache>
                <c:formatCode>General</c:formatCode>
                <c:ptCount val="89"/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254033280"/>
        <c:axId val="254039552"/>
      </c:scatterChart>
      <c:valAx>
        <c:axId val="25403328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5317653712256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039552"/>
        <c:crossesAt val="-4"/>
        <c:crossBetween val="midCat"/>
        <c:majorUnit val="5"/>
        <c:minorUnit val="3.8539999999999988"/>
      </c:valAx>
      <c:valAx>
        <c:axId val="254039552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0332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 paperSize="170" orientation="landscape"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'Indices-Reg1'!$FZ$1:$GA$1</c:f>
          <c:strCache>
            <c:ptCount val="1"/>
            <c:pt idx="0">
              <c:v>ATL CAN-IS-BB</c:v>
            </c:pt>
          </c:strCache>
        </c:strRef>
      </c:tx>
      <c:layout>
        <c:manualLayout>
          <c:xMode val="edge"/>
          <c:yMode val="edge"/>
          <c:x val="0.3036211699164354"/>
          <c:y val="6.9400630914826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7995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'Indices-Reg1'!$FZ$12:$FZ$100</c:f>
              <c:numCache>
                <c:formatCode>General</c:formatCode>
                <c:ptCount val="89"/>
              </c:numCache>
            </c:numRef>
          </c:xVal>
          <c:yVal>
            <c:numRef>
              <c:f>'Indices-Reg1'!$GF$12:$GF$100</c:f>
              <c:numCache>
                <c:formatCode>General</c:formatCode>
                <c:ptCount val="89"/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'Indices-Reg1'!$FZ$12:$FZ$100</c:f>
              <c:numCache>
                <c:formatCode>General</c:formatCode>
                <c:ptCount val="89"/>
              </c:numCache>
            </c:numRef>
          </c:xVal>
          <c:yVal>
            <c:numRef>
              <c:f>'Indices-Reg1'!$GG$12:$GG$100</c:f>
              <c:numCache>
                <c:formatCode>General</c:formatCode>
                <c:ptCount val="89"/>
              </c:numCache>
            </c:numRef>
          </c:yVal>
        </c:ser>
        <c:axId val="253956096"/>
        <c:axId val="253958016"/>
      </c:scatterChart>
      <c:valAx>
        <c:axId val="25395609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61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958016"/>
        <c:crosses val="autoZero"/>
        <c:crossBetween val="midCat"/>
        <c:majorUnit val="5"/>
        <c:minorUnit val="3.8539999999999988"/>
      </c:valAx>
      <c:valAx>
        <c:axId val="253958016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45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9560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46"/>
          <c:y val="0.89274447949526814"/>
          <c:w val="0.42339832869080862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'Indices-Reg1'!$FZ$1:$GA$1</c:f>
          <c:strCache>
            <c:ptCount val="1"/>
            <c:pt idx="0">
              <c:v>ATL CAN-IS-BB</c:v>
            </c:pt>
          </c:strCache>
        </c:strRef>
      </c:tx>
      <c:layout>
        <c:manualLayout>
          <c:xMode val="edge"/>
          <c:yMode val="edge"/>
          <c:x val="0.24581039113018233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374"/>
          <c:y val="0.23174675020693891"/>
          <c:w val="0.52793368095004856"/>
          <c:h val="0.40635046611627718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'Indices-Reg1'!$FZ$12:$FZ$100</c:f>
              <c:numCache>
                <c:formatCode>General</c:formatCode>
                <c:ptCount val="89"/>
              </c:numCache>
            </c:numRef>
          </c:xVal>
          <c:yVal>
            <c:numRef>
              <c:f>'Indices-Reg1'!$GH$12:$GH$100</c:f>
              <c:numCache>
                <c:formatCode>General</c:formatCode>
                <c:ptCount val="89"/>
              </c:numCache>
            </c:numRef>
          </c:yVal>
        </c:ser>
        <c:axId val="253974016"/>
        <c:axId val="254006016"/>
      </c:scatterChart>
      <c:valAx>
        <c:axId val="25397401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7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006016"/>
        <c:crosses val="autoZero"/>
        <c:crossBetween val="midCat"/>
        <c:majorUnit val="5"/>
        <c:minorUnit val="3.8539999999999988"/>
      </c:valAx>
      <c:valAx>
        <c:axId val="25400601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974016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'Indices-Reg1'!$FZ$1:$GA$1</c:f>
          <c:strCache>
            <c:ptCount val="1"/>
            <c:pt idx="0">
              <c:v>ATL CAN-IS-BB</c:v>
            </c:pt>
          </c:strCache>
        </c:strRef>
      </c:tx>
      <c:layout>
        <c:manualLayout>
          <c:xMode val="edge"/>
          <c:yMode val="edge"/>
          <c:x val="0.30083565459610029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48"/>
          <c:y val="0.23734213889150763"/>
          <c:w val="0.62674094707521033"/>
          <c:h val="0.3607600511150908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'Indices-Reg1'!$FZ$12:$FZ$100</c:f>
              <c:numCache>
                <c:formatCode>General</c:formatCode>
                <c:ptCount val="89"/>
              </c:numCache>
            </c:numRef>
          </c:xVal>
          <c:yVal>
            <c:numRef>
              <c:f>'Indices-Reg1'!$GC$12:$GC$100</c:f>
              <c:numCache>
                <c:formatCode>General</c:formatCode>
                <c:ptCount val="89"/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254126336"/>
        <c:axId val="254136704"/>
      </c:scatterChart>
      <c:valAx>
        <c:axId val="25412633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5317653712256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136704"/>
        <c:crossesAt val="-4"/>
        <c:crossBetween val="midCat"/>
        <c:majorUnit val="5"/>
        <c:minorUnit val="3.8539999999999988"/>
      </c:valAx>
      <c:valAx>
        <c:axId val="254136704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126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 paperSize="170" orientation="landscape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'Indices-Reg1'!$GL$1:$GM$1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8440111420612816"/>
          <c:y val="6.9400630914826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7995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'Indices-Reg1'!$GL$12:$GL$100</c:f>
              <c:numCache>
                <c:formatCode>General</c:formatCode>
                <c:ptCount val="89"/>
              </c:numCache>
            </c:numRef>
          </c:xVal>
          <c:yVal>
            <c:numRef>
              <c:f>'Indices-Reg1'!$GR$12:$GR$100</c:f>
              <c:numCache>
                <c:formatCode>General</c:formatCode>
                <c:ptCount val="89"/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'Indices-Reg1'!$GL$12:$GL$100</c:f>
              <c:numCache>
                <c:formatCode>General</c:formatCode>
                <c:ptCount val="89"/>
              </c:numCache>
            </c:numRef>
          </c:xVal>
          <c:yVal>
            <c:numRef>
              <c:f>'Indices-Reg1'!$GS$12:$GS$100</c:f>
              <c:numCache>
                <c:formatCode>General</c:formatCode>
                <c:ptCount val="89"/>
              </c:numCache>
            </c:numRef>
          </c:yVal>
        </c:ser>
        <c:axId val="254166912"/>
        <c:axId val="254173184"/>
      </c:scatterChart>
      <c:valAx>
        <c:axId val="25416691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61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173184"/>
        <c:crosses val="autoZero"/>
        <c:crossBetween val="midCat"/>
        <c:majorUnit val="5"/>
        <c:minorUnit val="3.8539999999999988"/>
      </c:valAx>
      <c:valAx>
        <c:axId val="254173184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45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1669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46"/>
          <c:y val="0.89274447949526814"/>
          <c:w val="0.42339832869080862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'Indices-Reg1'!$GL$1:$GM$1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26816088207175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374"/>
          <c:y val="0.23174675020693891"/>
          <c:w val="0.52793368095004856"/>
          <c:h val="0.40635046611627718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'Indices-Reg1'!$GL$12:$GL$100</c:f>
              <c:numCache>
                <c:formatCode>General</c:formatCode>
                <c:ptCount val="89"/>
              </c:numCache>
            </c:numRef>
          </c:xVal>
          <c:yVal>
            <c:numRef>
              <c:f>'Indices-Reg1'!$GT$12:$GT$100</c:f>
              <c:numCache>
                <c:formatCode>General</c:formatCode>
                <c:ptCount val="89"/>
              </c:numCache>
            </c:numRef>
          </c:yVal>
        </c:ser>
        <c:axId val="254185472"/>
        <c:axId val="255338752"/>
      </c:scatterChart>
      <c:valAx>
        <c:axId val="25418547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7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338752"/>
        <c:crosses val="autoZero"/>
        <c:crossBetween val="midCat"/>
        <c:majorUnit val="5"/>
        <c:minorUnit val="3.8539999999999988"/>
      </c:valAx>
      <c:valAx>
        <c:axId val="25533875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185472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'Indices-Reg1'!$GL$1:$GM$1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8161559888579388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48"/>
          <c:y val="0.23734213889150763"/>
          <c:w val="0.62674094707521033"/>
          <c:h val="0.35759548926320484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'Indices-Reg1'!$GL$12:$GL$100</c:f>
              <c:numCache>
                <c:formatCode>General</c:formatCode>
                <c:ptCount val="89"/>
              </c:numCache>
            </c:numRef>
          </c:xVal>
          <c:yVal>
            <c:numRef>
              <c:f>'Indices-Reg1'!$GO$12:$GO$100</c:f>
              <c:numCache>
                <c:formatCode>General</c:formatCode>
                <c:ptCount val="89"/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255385600"/>
        <c:axId val="255387520"/>
      </c:scatterChart>
      <c:valAx>
        <c:axId val="25538560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21530918603695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387520"/>
        <c:crossesAt val="-4"/>
        <c:crossBetween val="midCat"/>
        <c:majorUnit val="5"/>
        <c:minorUnit val="3.8539999999999988"/>
      </c:valAx>
      <c:valAx>
        <c:axId val="255387520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48105666698101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3856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 paperSize="170" orientation="landscape"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'Indices-Reg1'!$GX$1:$GY$1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7883008356546094"/>
          <c:y val="6.9400630914826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481894150417828"/>
          <c:y val="0.20820189274447995"/>
          <c:w val="0.55431754874651618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'Indices-Reg1'!$GX$12:$GX$100</c:f>
              <c:numCache>
                <c:formatCode>General</c:formatCode>
                <c:ptCount val="89"/>
              </c:numCache>
            </c:numRef>
          </c:xVal>
          <c:yVal>
            <c:numRef>
              <c:f>'Indices-Reg1'!$HD$12:$HD$100</c:f>
              <c:numCache>
                <c:formatCode>General</c:formatCode>
                <c:ptCount val="89"/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'Indices-Reg1'!$GX$12:$GX$100</c:f>
              <c:numCache>
                <c:formatCode>General</c:formatCode>
                <c:ptCount val="89"/>
              </c:numCache>
            </c:numRef>
          </c:xVal>
          <c:yVal>
            <c:numRef>
              <c:f>'Indices-Reg1'!$HE$12:$HE$100</c:f>
              <c:numCache>
                <c:formatCode>General</c:formatCode>
                <c:ptCount val="89"/>
              </c:numCache>
            </c:numRef>
          </c:yVal>
        </c:ser>
        <c:axId val="255500288"/>
        <c:axId val="255502208"/>
      </c:scatterChart>
      <c:valAx>
        <c:axId val="25550028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5431754874651618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502208"/>
        <c:crosses val="autoZero"/>
        <c:crossBetween val="midCat"/>
        <c:majorUnit val="5"/>
        <c:minorUnit val="3.8539999999999988"/>
      </c:valAx>
      <c:valAx>
        <c:axId val="255502208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45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5002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41504178272980596"/>
          <c:y val="0.89274447949526814"/>
          <c:w val="0.42339832869080862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'Indices-Reg1'!$GX$1:$GY$1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2122948840876031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374"/>
          <c:y val="0.23174675020693891"/>
          <c:w val="0.52793368095004856"/>
          <c:h val="0.40635046611627718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'Indices-Reg1'!$GX$12:$GX$100</c:f>
              <c:numCache>
                <c:formatCode>General</c:formatCode>
                <c:ptCount val="89"/>
              </c:numCache>
            </c:numRef>
          </c:xVal>
          <c:yVal>
            <c:numRef>
              <c:f>'Indices-Reg1'!$HF$12:$HF$100</c:f>
              <c:numCache>
                <c:formatCode>General</c:formatCode>
                <c:ptCount val="89"/>
              </c:numCache>
            </c:numRef>
          </c:yVal>
        </c:ser>
        <c:axId val="255829504"/>
        <c:axId val="255841024"/>
      </c:scatterChart>
      <c:valAx>
        <c:axId val="25582950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7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841024"/>
        <c:crosses val="autoZero"/>
        <c:crossBetween val="midCat"/>
        <c:majorUnit val="5"/>
        <c:minorUnit val="3.8539999999999988"/>
      </c:valAx>
      <c:valAx>
        <c:axId val="25584102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829504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'Indices-Reg1'!$GX$1:$GY$1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7604456824512605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48"/>
          <c:y val="0.23734213889150763"/>
          <c:w val="0.62674094707521033"/>
          <c:h val="0.3607600511150908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'Indices-Reg1'!$GX$12:$GX$100</c:f>
              <c:numCache>
                <c:formatCode>General</c:formatCode>
                <c:ptCount val="89"/>
              </c:numCache>
            </c:numRef>
          </c:xVal>
          <c:yVal>
            <c:numRef>
              <c:f>'Indices-Reg1'!$HA$12:$HA$100</c:f>
              <c:numCache>
                <c:formatCode>General</c:formatCode>
                <c:ptCount val="89"/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255924480"/>
        <c:axId val="255938944"/>
      </c:scatterChart>
      <c:valAx>
        <c:axId val="25592448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5317653712256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938944"/>
        <c:crossesAt val="-4"/>
        <c:crossBetween val="midCat"/>
        <c:majorUnit val="5"/>
        <c:minorUnit val="3.8539999999999988"/>
      </c:valAx>
      <c:valAx>
        <c:axId val="255938944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9244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 paperSize="170" orientation="landscape"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'Indices-Reg1'!$HJ$1:$HK$1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26536349042462798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1564288861034773"/>
          <c:y val="0.23174675020693891"/>
          <c:w val="0.56424657963973524"/>
          <c:h val="0.40635046611627718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'Indices-Reg1'!$HJ$12:$HJ$100</c:f>
              <c:numCache>
                <c:formatCode>General</c:formatCode>
                <c:ptCount val="89"/>
              </c:numCache>
            </c:numRef>
          </c:xVal>
          <c:yVal>
            <c:numRef>
              <c:f>'Indices-Reg1'!$HR$12:$HR$100</c:f>
              <c:numCache>
                <c:formatCode>General</c:formatCode>
                <c:ptCount val="89"/>
              </c:numCache>
            </c:numRef>
          </c:yVal>
        </c:ser>
        <c:axId val="255818752"/>
        <c:axId val="255973632"/>
      </c:scatterChart>
      <c:valAx>
        <c:axId val="25581875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2793368095004856"/>
              <c:y val="0.815875545249087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973632"/>
        <c:crosses val="autoZero"/>
        <c:crossBetween val="midCat"/>
        <c:majorUnit val="5"/>
        <c:minorUnit val="3.8539999999999988"/>
      </c:valAx>
      <c:valAx>
        <c:axId val="25597363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818752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'Indices-Reg1'!$HJ$1:$HK$1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2033426183844227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48"/>
          <c:y val="0.23734213889150763"/>
          <c:w val="0.62674094707521033"/>
          <c:h val="0.35759548926320484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'Indices-Reg1'!$HJ$12:$HJ$100</c:f>
              <c:numCache>
                <c:formatCode>General</c:formatCode>
                <c:ptCount val="89"/>
              </c:numCache>
            </c:numRef>
          </c:xVal>
          <c:yVal>
            <c:numRef>
              <c:f>'Indices-Reg1'!$HM$12:$HM$100</c:f>
              <c:numCache>
                <c:formatCode>General</c:formatCode>
                <c:ptCount val="89"/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255901696"/>
        <c:axId val="255903616"/>
      </c:scatterChart>
      <c:valAx>
        <c:axId val="25590169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21530918603695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903616"/>
        <c:crossesAt val="-4"/>
        <c:crossBetween val="midCat"/>
        <c:majorUnit val="5"/>
        <c:minorUnit val="3.8539999999999988"/>
      </c:valAx>
      <c:valAx>
        <c:axId val="255903616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48105666698101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9016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 paperSize="170" orientation="landscape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'Indices-Reg1'!$HV$1:$HW$1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5933147632311985"/>
          <c:y val="6.9400630914826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7995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'Indices-Reg1'!$HV$12:$HV$100</c:f>
              <c:numCache>
                <c:formatCode>General</c:formatCode>
                <c:ptCount val="89"/>
              </c:numCache>
            </c:numRef>
          </c:xVal>
          <c:yVal>
            <c:numRef>
              <c:f>'Indices-Reg1'!$IB$12:$IB$100</c:f>
              <c:numCache>
                <c:formatCode>General</c:formatCode>
                <c:ptCount val="89"/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'Indices-Reg1'!$HV$12:$HV$100</c:f>
              <c:numCache>
                <c:formatCode>General</c:formatCode>
                <c:ptCount val="89"/>
              </c:numCache>
            </c:numRef>
          </c:xVal>
          <c:yVal>
            <c:numRef>
              <c:f>'Indices-Reg1'!$IC$12:$IC$100</c:f>
              <c:numCache>
                <c:formatCode>General</c:formatCode>
                <c:ptCount val="89"/>
              </c:numCache>
            </c:numRef>
          </c:yVal>
        </c:ser>
        <c:axId val="259223552"/>
        <c:axId val="259225472"/>
      </c:scatterChart>
      <c:valAx>
        <c:axId val="25922355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61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9225472"/>
        <c:crosses val="autoZero"/>
        <c:crossBetween val="midCat"/>
        <c:majorUnit val="5"/>
        <c:minorUnit val="3.8539999999999988"/>
      </c:valAx>
      <c:valAx>
        <c:axId val="259225472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45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9223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46"/>
          <c:y val="0.89274447949526814"/>
          <c:w val="0.42339832869080862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'Indices-Reg1'!$HV$1:$HW$1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0167638911431516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374"/>
          <c:y val="0.23174675020693891"/>
          <c:w val="0.52793368095004856"/>
          <c:h val="0.40635046611627718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'Indices-Reg1'!$HV$12:$HV$100</c:f>
              <c:numCache>
                <c:formatCode>General</c:formatCode>
                <c:ptCount val="89"/>
              </c:numCache>
            </c:numRef>
          </c:xVal>
          <c:yVal>
            <c:numRef>
              <c:f>'Indices-Reg1'!$ID$12:$ID$100</c:f>
              <c:numCache>
                <c:formatCode>General</c:formatCode>
                <c:ptCount val="89"/>
              </c:numCache>
            </c:numRef>
          </c:yVal>
        </c:ser>
        <c:axId val="259253760"/>
        <c:axId val="259277568"/>
      </c:scatterChart>
      <c:valAx>
        <c:axId val="25925376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7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9277568"/>
        <c:crosses val="autoZero"/>
        <c:crossBetween val="midCat"/>
        <c:majorUnit val="5"/>
        <c:minorUnit val="3.8539999999999988"/>
      </c:valAx>
      <c:valAx>
        <c:axId val="25927756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9253760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'Indices-Reg1'!$HV$1:$HW$1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5654596100278646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48"/>
          <c:y val="0.23734213889150763"/>
          <c:w val="0.62674094707521033"/>
          <c:h val="0.3607600511150908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'Indices-Reg1'!$HV$12:$HV$100</c:f>
              <c:numCache>
                <c:formatCode>General</c:formatCode>
                <c:ptCount val="89"/>
              </c:numCache>
            </c:numRef>
          </c:xVal>
          <c:yVal>
            <c:numRef>
              <c:f>'Indices-Reg1'!$HY$12:$HY$100</c:f>
              <c:numCache>
                <c:formatCode>General</c:formatCode>
                <c:ptCount val="89"/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259322240"/>
        <c:axId val="259324160"/>
      </c:scatterChart>
      <c:valAx>
        <c:axId val="25932224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5317653712256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9324160"/>
        <c:crossesAt val="-4"/>
        <c:crossBetween val="midCat"/>
        <c:majorUnit val="5"/>
        <c:minorUnit val="3.8539999999999988"/>
      </c:valAx>
      <c:valAx>
        <c:axId val="259324160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93222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 paperSize="170" orientation="landscape"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'Indices-Reg1'!$DF$1:$DG$1</c:f>
          <c:strCache>
            <c:ptCount val="1"/>
            <c:pt idx="0">
              <c:v>ATL EUR-PS 3%</c:v>
            </c:pt>
          </c:strCache>
        </c:strRef>
      </c:tx>
      <c:layout>
        <c:manualLayout>
          <c:xMode val="edge"/>
          <c:yMode val="edge"/>
          <c:x val="0.35376044568245235"/>
          <c:y val="6.94006309148269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'Indices-Reg1'!$DF$12:$DF$100</c:f>
              <c:numCache>
                <c:formatCode>General</c:formatCode>
                <c:ptCount val="89"/>
              </c:numCache>
            </c:numRef>
          </c:xVal>
          <c:yVal>
            <c:numRef>
              <c:f>'Indices-Reg1'!$DL$12:$DL$100</c:f>
              <c:numCache>
                <c:formatCode>General</c:formatCode>
                <c:ptCount val="89"/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'Indices-Reg1'!$DF$12:$DF$100</c:f>
              <c:numCache>
                <c:formatCode>General</c:formatCode>
                <c:ptCount val="89"/>
              </c:numCache>
            </c:numRef>
          </c:xVal>
          <c:yVal>
            <c:numRef>
              <c:f>'Indices-Reg1'!$DM$12:$DM$100</c:f>
              <c:numCache>
                <c:formatCode>General</c:formatCode>
                <c:ptCount val="89"/>
              </c:numCache>
            </c:numRef>
          </c:yVal>
        </c:ser>
        <c:axId val="259330048"/>
        <c:axId val="259331968"/>
      </c:scatterChart>
      <c:valAx>
        <c:axId val="25933004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72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9331968"/>
        <c:crosses val="autoZero"/>
        <c:crossBetween val="midCat"/>
        <c:majorUnit val="5"/>
        <c:minorUnit val="3.8539999999999988"/>
      </c:valAx>
      <c:valAx>
        <c:axId val="259331968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49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93300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57"/>
          <c:y val="0.89274447949526814"/>
          <c:w val="0.42339832869080873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'Indices-Reg1'!$AL$1:$AN$1</c:f>
          <c:strCache>
            <c:ptCount val="1"/>
            <c:pt idx="0">
              <c:v>ATL USMEX_LL</c:v>
            </c:pt>
          </c:strCache>
        </c:strRef>
      </c:tx>
      <c:layout>
        <c:manualLayout>
          <c:xMode val="edge"/>
          <c:yMode val="edge"/>
          <c:x val="0.31476323119777266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676880222841226"/>
          <c:y val="0.20253195852075276"/>
          <c:w val="0.6713091922005604"/>
          <c:h val="0.43038041185660192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'Indices-Reg1'!$AL$12:$AL$100</c:f>
              <c:numCache>
                <c:formatCode>General</c:formatCode>
                <c:ptCount val="89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</c:numCache>
            </c:numRef>
          </c:xVal>
          <c:yVal>
            <c:numRef>
              <c:f>'Indices-Reg1'!$AO$12:$AO$100</c:f>
              <c:numCache>
                <c:formatCode>General</c:formatCode>
                <c:ptCount val="89"/>
                <c:pt idx="0">
                  <c:v>8.5000000000000006E-2</c:v>
                </c:pt>
                <c:pt idx="1">
                  <c:v>0.42199999999999999</c:v>
                </c:pt>
                <c:pt idx="2">
                  <c:v>-6.6000000000000003E-2</c:v>
                </c:pt>
                <c:pt idx="3">
                  <c:v>-0.182</c:v>
                </c:pt>
                <c:pt idx="4">
                  <c:v>1E-3</c:v>
                </c:pt>
                <c:pt idx="5">
                  <c:v>4.0000000000000001E-3</c:v>
                </c:pt>
                <c:pt idx="6">
                  <c:v>0.40799999999999997</c:v>
                </c:pt>
                <c:pt idx="7">
                  <c:v>-7.6999999999999999E-2</c:v>
                </c:pt>
                <c:pt idx="8">
                  <c:v>-0.4</c:v>
                </c:pt>
                <c:pt idx="9">
                  <c:v>-0.17499999999999999</c:v>
                </c:pt>
                <c:pt idx="10">
                  <c:v>0.121</c:v>
                </c:pt>
                <c:pt idx="11">
                  <c:v>-2.4E-2</c:v>
                </c:pt>
                <c:pt idx="12">
                  <c:v>-0.03</c:v>
                </c:pt>
                <c:pt idx="13">
                  <c:v>-8.5999999999999993E-2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259358720"/>
        <c:axId val="259360640"/>
      </c:scatterChart>
      <c:valAx>
        <c:axId val="259358720"/>
        <c:scaling>
          <c:orientation val="minMax"/>
          <c:max val="2008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0139275766016711"/>
              <c:y val="0.8101278340830138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9360640"/>
        <c:crossesAt val="-4"/>
        <c:crossBetween val="midCat"/>
        <c:majorUnit val="5"/>
        <c:minorUnit val="3.8539999999999988"/>
      </c:valAx>
      <c:valAx>
        <c:axId val="259360640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2423398328690811E-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93587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 paperSize="170" orientation="landscape"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'Indices-Reg1'!$HJ$1:$HK$1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7883008356546138"/>
          <c:y val="6.9400630914827011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481894150417828"/>
          <c:y val="0.20820189274448006"/>
          <c:w val="0.55431754874651551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'Indices-Reg1'!$HJ$12:$HJ$100</c:f>
              <c:numCache>
                <c:formatCode>General</c:formatCode>
                <c:ptCount val="89"/>
              </c:numCache>
            </c:numRef>
          </c:xVal>
          <c:yVal>
            <c:numRef>
              <c:f>'Indices-Reg1'!$HP$12:$HP$100</c:f>
              <c:numCache>
                <c:formatCode>General</c:formatCode>
                <c:ptCount val="89"/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'Indices-Reg1'!$HJ$12:$HJ$100</c:f>
              <c:numCache>
                <c:formatCode>General</c:formatCode>
                <c:ptCount val="89"/>
              </c:numCache>
            </c:numRef>
          </c:xVal>
          <c:yVal>
            <c:numRef>
              <c:f>'Indices-Reg1'!$HQ$12:$HQ$100</c:f>
              <c:numCache>
                <c:formatCode>General</c:formatCode>
                <c:ptCount val="89"/>
              </c:numCache>
            </c:numRef>
          </c:yVal>
        </c:ser>
        <c:axId val="259547520"/>
        <c:axId val="259549440"/>
      </c:scatterChart>
      <c:valAx>
        <c:axId val="259547520"/>
        <c:scaling>
          <c:orientation val="minMax"/>
          <c:max val="2008"/>
          <c:min val="195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5431754874651551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9549440"/>
        <c:crosses val="autoZero"/>
        <c:crossBetween val="midCat"/>
        <c:majorUnit val="5"/>
        <c:minorUnit val="3.8539999999999988"/>
      </c:valAx>
      <c:valAx>
        <c:axId val="25954944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 Untransformed Index</a:t>
                </a:r>
              </a:p>
            </c:rich>
          </c:tx>
          <c:layout>
            <c:manualLayout>
              <c:xMode val="edge"/>
              <c:yMode val="edge"/>
              <c:x val="1.3927576601671356E-2"/>
              <c:y val="0.2176656151419558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95475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41504178272980624"/>
          <c:y val="0.89274447949526814"/>
          <c:w val="0.4233983286908089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'Indices-Reg1'!$AL$1:$AN$1</c:f>
          <c:strCache>
            <c:ptCount val="1"/>
            <c:pt idx="0">
              <c:v>ATL USMEX_LL</c:v>
            </c:pt>
          </c:strCache>
        </c:strRef>
      </c:tx>
      <c:layout>
        <c:manualLayout>
          <c:xMode val="edge"/>
          <c:yMode val="edge"/>
          <c:x val="0.31476323119777244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676880222841226"/>
          <c:y val="0.20253195852075276"/>
          <c:w val="0.67130919220055973"/>
          <c:h val="0.43038041185660136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'Indices-Reg1'!$AL$12:$AL$100</c:f>
              <c:numCache>
                <c:formatCode>General</c:formatCode>
                <c:ptCount val="89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</c:numCache>
            </c:numRef>
          </c:xVal>
          <c:yVal>
            <c:numRef>
              <c:f>'Indices-Reg1'!$AO$12:$AO$100</c:f>
              <c:numCache>
                <c:formatCode>General</c:formatCode>
                <c:ptCount val="89"/>
                <c:pt idx="0">
                  <c:v>8.5000000000000006E-2</c:v>
                </c:pt>
                <c:pt idx="1">
                  <c:v>0.42199999999999999</c:v>
                </c:pt>
                <c:pt idx="2">
                  <c:v>-6.6000000000000003E-2</c:v>
                </c:pt>
                <c:pt idx="3">
                  <c:v>-0.182</c:v>
                </c:pt>
                <c:pt idx="4">
                  <c:v>1E-3</c:v>
                </c:pt>
                <c:pt idx="5">
                  <c:v>4.0000000000000001E-3</c:v>
                </c:pt>
                <c:pt idx="6">
                  <c:v>0.40799999999999997</c:v>
                </c:pt>
                <c:pt idx="7">
                  <c:v>-7.6999999999999999E-2</c:v>
                </c:pt>
                <c:pt idx="8">
                  <c:v>-0.4</c:v>
                </c:pt>
                <c:pt idx="9">
                  <c:v>-0.17499999999999999</c:v>
                </c:pt>
                <c:pt idx="10">
                  <c:v>0.121</c:v>
                </c:pt>
                <c:pt idx="11">
                  <c:v>-2.4E-2</c:v>
                </c:pt>
                <c:pt idx="12">
                  <c:v>-0.03</c:v>
                </c:pt>
                <c:pt idx="13">
                  <c:v>-8.5999999999999993E-2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259461888"/>
        <c:axId val="259463424"/>
      </c:scatterChart>
      <c:valAx>
        <c:axId val="259461888"/>
        <c:scaling>
          <c:orientation val="minMax"/>
          <c:max val="2008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0139275766016711"/>
              <c:y val="0.8101278340830131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9463424"/>
        <c:crossesAt val="-4"/>
        <c:crossBetween val="midCat"/>
        <c:majorUnit val="5"/>
        <c:minorUnit val="3.8539999999999988"/>
      </c:valAx>
      <c:valAx>
        <c:axId val="259463424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2423398328690811E-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94618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paperSize="170" orientation="landscape"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 Figs'!$A$49</c:f>
          <c:strCache>
            <c:ptCount val="1"/>
            <c:pt idx="0">
              <c:v>BRA_LL</c:v>
            </c:pt>
          </c:strCache>
        </c:strRef>
      </c:tx>
    </c:title>
    <c:plotArea>
      <c:layout/>
      <c:scatterChart>
        <c:scatterStyle val="lineMarker"/>
        <c:ser>
          <c:idx val="0"/>
          <c:order val="0"/>
          <c:tx>
            <c:strRef>
              <c:f>'Selectivity Figs'!$B$51:$B$52</c:f>
              <c:strCache>
                <c:ptCount val="1"/>
                <c:pt idx="0">
                  <c:v>0 -----</c:v>
                </c:pt>
              </c:strCache>
            </c:strRef>
          </c:tx>
          <c:xVal>
            <c:numRef>
              <c:f>'Selectivity Figs'!$A$53:$A$73</c:f>
              <c:numCache>
                <c:formatCode>General</c:formatCode>
                <c:ptCount val="21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</c:numCache>
            </c:numRef>
          </c:xVal>
          <c:yVal>
            <c:numRef>
              <c:f>'Selectivity Figs'!$B$53:$B$73</c:f>
              <c:numCache>
                <c:formatCode>General</c:formatCode>
                <c:ptCount val="21"/>
                <c:pt idx="0">
                  <c:v>1.4E-2</c:v>
                </c:pt>
                <c:pt idx="1">
                  <c:v>1.4E-2</c:v>
                </c:pt>
                <c:pt idx="2">
                  <c:v>1.4E-2</c:v>
                </c:pt>
                <c:pt idx="3">
                  <c:v>1.4E-2</c:v>
                </c:pt>
                <c:pt idx="4">
                  <c:v>1.4E-2</c:v>
                </c:pt>
                <c:pt idx="5">
                  <c:v>1.4E-2</c:v>
                </c:pt>
                <c:pt idx="6">
                  <c:v>1.4E-2</c:v>
                </c:pt>
                <c:pt idx="7">
                  <c:v>1.4E-2</c:v>
                </c:pt>
                <c:pt idx="8">
                  <c:v>1.4E-2</c:v>
                </c:pt>
                <c:pt idx="9">
                  <c:v>1.4E-2</c:v>
                </c:pt>
                <c:pt idx="10">
                  <c:v>1.4E-2</c:v>
                </c:pt>
                <c:pt idx="11">
                  <c:v>1.4E-2</c:v>
                </c:pt>
                <c:pt idx="12">
                  <c:v>1.4E-2</c:v>
                </c:pt>
                <c:pt idx="13">
                  <c:v>1.4E-2</c:v>
                </c:pt>
                <c:pt idx="14">
                  <c:v>1.4E-2</c:v>
                </c:pt>
                <c:pt idx="15">
                  <c:v>1.4E-2</c:v>
                </c:pt>
                <c:pt idx="16">
                  <c:v>1.4E-2</c:v>
                </c:pt>
                <c:pt idx="17">
                  <c:v>1.4E-2</c:v>
                </c:pt>
                <c:pt idx="18">
                  <c:v>1.4E-2</c:v>
                </c:pt>
                <c:pt idx="19">
                  <c:v>1.4E-2</c:v>
                </c:pt>
                <c:pt idx="20">
                  <c:v>1.4E-2</c:v>
                </c:pt>
              </c:numCache>
            </c:numRef>
          </c:yVal>
        </c:ser>
        <c:ser>
          <c:idx val="1"/>
          <c:order val="1"/>
          <c:tx>
            <c:strRef>
              <c:f>'Selectivity Figs'!$C$51:$C$52</c:f>
              <c:strCache>
                <c:ptCount val="1"/>
                <c:pt idx="0">
                  <c:v>1 -----</c:v>
                </c:pt>
              </c:strCache>
            </c:strRef>
          </c:tx>
          <c:xVal>
            <c:numRef>
              <c:f>'Selectivity Figs'!$A$53:$A$73</c:f>
              <c:numCache>
                <c:formatCode>General</c:formatCode>
                <c:ptCount val="21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</c:numCache>
            </c:numRef>
          </c:xVal>
          <c:yVal>
            <c:numRef>
              <c:f>'Selectivity Figs'!$C$53:$C$73</c:f>
              <c:numCache>
                <c:formatCode>General</c:formatCode>
                <c:ptCount val="21"/>
                <c:pt idx="0">
                  <c:v>0.17699999999999999</c:v>
                </c:pt>
                <c:pt idx="1">
                  <c:v>0.17699999999999999</c:v>
                </c:pt>
                <c:pt idx="2">
                  <c:v>0.17699999999999999</c:v>
                </c:pt>
                <c:pt idx="3">
                  <c:v>0.17699999999999999</c:v>
                </c:pt>
                <c:pt idx="4">
                  <c:v>0.17699999999999999</c:v>
                </c:pt>
                <c:pt idx="5">
                  <c:v>0.17699999999999999</c:v>
                </c:pt>
                <c:pt idx="6">
                  <c:v>0.17699999999999999</c:v>
                </c:pt>
                <c:pt idx="7">
                  <c:v>0.17699999999999999</c:v>
                </c:pt>
                <c:pt idx="8">
                  <c:v>0.17699999999999999</c:v>
                </c:pt>
                <c:pt idx="9">
                  <c:v>0.17699999999999999</c:v>
                </c:pt>
                <c:pt idx="10">
                  <c:v>0.17699999999999999</c:v>
                </c:pt>
                <c:pt idx="11">
                  <c:v>0.17699999999999999</c:v>
                </c:pt>
                <c:pt idx="12">
                  <c:v>0.17699999999999999</c:v>
                </c:pt>
                <c:pt idx="13">
                  <c:v>0.17699999999999999</c:v>
                </c:pt>
                <c:pt idx="14">
                  <c:v>0.17699999999999999</c:v>
                </c:pt>
                <c:pt idx="15">
                  <c:v>0.17699999999999999</c:v>
                </c:pt>
                <c:pt idx="16">
                  <c:v>0.17699999999999999</c:v>
                </c:pt>
                <c:pt idx="17">
                  <c:v>0.17699999999999999</c:v>
                </c:pt>
                <c:pt idx="18">
                  <c:v>0.17699999999999999</c:v>
                </c:pt>
                <c:pt idx="19">
                  <c:v>0.17699999999999999</c:v>
                </c:pt>
                <c:pt idx="20">
                  <c:v>0.17699999999999999</c:v>
                </c:pt>
              </c:numCache>
            </c:numRef>
          </c:yVal>
        </c:ser>
        <c:ser>
          <c:idx val="2"/>
          <c:order val="2"/>
          <c:tx>
            <c:strRef>
              <c:f>'Selectivity Figs'!$D$51:$D$52</c:f>
              <c:strCache>
                <c:ptCount val="1"/>
                <c:pt idx="0">
                  <c:v>2 -----</c:v>
                </c:pt>
              </c:strCache>
            </c:strRef>
          </c:tx>
          <c:xVal>
            <c:numRef>
              <c:f>'Selectivity Figs'!$A$53:$A$73</c:f>
              <c:numCache>
                <c:formatCode>General</c:formatCode>
                <c:ptCount val="21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</c:numCache>
            </c:numRef>
          </c:xVal>
          <c:yVal>
            <c:numRef>
              <c:f>'Selectivity Figs'!$D$53:$D$73</c:f>
              <c:numCache>
                <c:formatCode>General</c:formatCode>
                <c:ptCount val="21"/>
                <c:pt idx="0">
                  <c:v>0.43</c:v>
                </c:pt>
                <c:pt idx="1">
                  <c:v>0.43</c:v>
                </c:pt>
                <c:pt idx="2">
                  <c:v>0.43</c:v>
                </c:pt>
                <c:pt idx="3">
                  <c:v>0.43</c:v>
                </c:pt>
                <c:pt idx="4">
                  <c:v>0.43</c:v>
                </c:pt>
                <c:pt idx="5">
                  <c:v>0.43</c:v>
                </c:pt>
                <c:pt idx="6">
                  <c:v>0.43</c:v>
                </c:pt>
                <c:pt idx="7">
                  <c:v>0.43</c:v>
                </c:pt>
                <c:pt idx="8">
                  <c:v>0.43</c:v>
                </c:pt>
                <c:pt idx="9">
                  <c:v>0.43</c:v>
                </c:pt>
                <c:pt idx="10">
                  <c:v>0.43</c:v>
                </c:pt>
                <c:pt idx="11">
                  <c:v>0.43</c:v>
                </c:pt>
                <c:pt idx="12">
                  <c:v>0.43</c:v>
                </c:pt>
                <c:pt idx="13">
                  <c:v>0.43</c:v>
                </c:pt>
                <c:pt idx="14">
                  <c:v>0.43</c:v>
                </c:pt>
                <c:pt idx="15">
                  <c:v>0.43</c:v>
                </c:pt>
                <c:pt idx="16">
                  <c:v>0.43</c:v>
                </c:pt>
                <c:pt idx="17">
                  <c:v>0.43</c:v>
                </c:pt>
                <c:pt idx="18">
                  <c:v>0.43</c:v>
                </c:pt>
                <c:pt idx="19">
                  <c:v>0.43</c:v>
                </c:pt>
                <c:pt idx="20">
                  <c:v>0.43</c:v>
                </c:pt>
              </c:numCache>
            </c:numRef>
          </c:yVal>
        </c:ser>
        <c:ser>
          <c:idx val="3"/>
          <c:order val="3"/>
          <c:tx>
            <c:strRef>
              <c:f>'Selectivity Figs'!$E$51:$E$52</c:f>
              <c:strCache>
                <c:ptCount val="1"/>
                <c:pt idx="0">
                  <c:v>3 -----</c:v>
                </c:pt>
              </c:strCache>
            </c:strRef>
          </c:tx>
          <c:xVal>
            <c:numRef>
              <c:f>'Selectivity Figs'!$A$53:$A$73</c:f>
              <c:numCache>
                <c:formatCode>General</c:formatCode>
                <c:ptCount val="21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</c:numCache>
            </c:numRef>
          </c:xVal>
          <c:yVal>
            <c:numRef>
              <c:f>'Selectivity Figs'!$E$53:$E$73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</c:ser>
        <c:ser>
          <c:idx val="4"/>
          <c:order val="4"/>
          <c:tx>
            <c:strRef>
              <c:f>'Selectivity Figs'!$F$51:$F$52</c:f>
              <c:strCache>
                <c:ptCount val="1"/>
                <c:pt idx="0">
                  <c:v>4 -----</c:v>
                </c:pt>
              </c:strCache>
            </c:strRef>
          </c:tx>
          <c:xVal>
            <c:numRef>
              <c:f>'Selectivity Figs'!$A$53:$A$73</c:f>
              <c:numCache>
                <c:formatCode>General</c:formatCode>
                <c:ptCount val="21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</c:numCache>
            </c:numRef>
          </c:xVal>
          <c:yVal>
            <c:numRef>
              <c:f>'Selectivity Figs'!$F$53:$F$73</c:f>
              <c:numCache>
                <c:formatCode>General</c:formatCode>
                <c:ptCount val="21"/>
                <c:pt idx="0">
                  <c:v>0.61</c:v>
                </c:pt>
                <c:pt idx="1">
                  <c:v>0.61</c:v>
                </c:pt>
                <c:pt idx="2">
                  <c:v>0.61</c:v>
                </c:pt>
                <c:pt idx="3">
                  <c:v>0.61</c:v>
                </c:pt>
                <c:pt idx="4">
                  <c:v>0.61</c:v>
                </c:pt>
                <c:pt idx="5">
                  <c:v>0.61</c:v>
                </c:pt>
                <c:pt idx="6">
                  <c:v>0.61</c:v>
                </c:pt>
                <c:pt idx="7">
                  <c:v>0.61</c:v>
                </c:pt>
                <c:pt idx="8">
                  <c:v>0.61</c:v>
                </c:pt>
                <c:pt idx="9">
                  <c:v>0.61</c:v>
                </c:pt>
                <c:pt idx="10">
                  <c:v>0.61</c:v>
                </c:pt>
                <c:pt idx="11">
                  <c:v>0.61</c:v>
                </c:pt>
                <c:pt idx="12">
                  <c:v>0.61</c:v>
                </c:pt>
                <c:pt idx="13">
                  <c:v>0.61</c:v>
                </c:pt>
                <c:pt idx="14">
                  <c:v>0.61</c:v>
                </c:pt>
                <c:pt idx="15">
                  <c:v>0.61</c:v>
                </c:pt>
                <c:pt idx="16">
                  <c:v>0.61</c:v>
                </c:pt>
                <c:pt idx="17">
                  <c:v>0.61</c:v>
                </c:pt>
                <c:pt idx="18">
                  <c:v>0.61</c:v>
                </c:pt>
                <c:pt idx="19">
                  <c:v>0.61</c:v>
                </c:pt>
                <c:pt idx="20">
                  <c:v>0.61</c:v>
                </c:pt>
              </c:numCache>
            </c:numRef>
          </c:yVal>
        </c:ser>
        <c:ser>
          <c:idx val="5"/>
          <c:order val="5"/>
          <c:tx>
            <c:strRef>
              <c:f>'Selectivity Figs'!$G$51:$G$52</c:f>
              <c:strCache>
                <c:ptCount val="1"/>
                <c:pt idx="0">
                  <c:v>5 -----</c:v>
                </c:pt>
              </c:strCache>
            </c:strRef>
          </c:tx>
          <c:xVal>
            <c:numRef>
              <c:f>'Selectivity Figs'!$A$53:$A$73</c:f>
              <c:numCache>
                <c:formatCode>General</c:formatCode>
                <c:ptCount val="21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</c:numCache>
            </c:numRef>
          </c:xVal>
          <c:yVal>
            <c:numRef>
              <c:f>'Selectivity Figs'!$G$53:$G$73</c:f>
              <c:numCache>
                <c:formatCode>General</c:formatCode>
                <c:ptCount val="21"/>
                <c:pt idx="0">
                  <c:v>0.19400000000000001</c:v>
                </c:pt>
                <c:pt idx="1">
                  <c:v>0.19400000000000001</c:v>
                </c:pt>
                <c:pt idx="2">
                  <c:v>0.19400000000000001</c:v>
                </c:pt>
                <c:pt idx="3">
                  <c:v>0.19400000000000001</c:v>
                </c:pt>
                <c:pt idx="4">
                  <c:v>0.19400000000000001</c:v>
                </c:pt>
                <c:pt idx="5">
                  <c:v>0.19400000000000001</c:v>
                </c:pt>
                <c:pt idx="6">
                  <c:v>0.19400000000000001</c:v>
                </c:pt>
                <c:pt idx="7">
                  <c:v>0.19400000000000001</c:v>
                </c:pt>
                <c:pt idx="8">
                  <c:v>0.19400000000000001</c:v>
                </c:pt>
                <c:pt idx="9">
                  <c:v>0.19400000000000001</c:v>
                </c:pt>
                <c:pt idx="10">
                  <c:v>0.19400000000000001</c:v>
                </c:pt>
                <c:pt idx="11">
                  <c:v>0.19400000000000001</c:v>
                </c:pt>
                <c:pt idx="12">
                  <c:v>0.19400000000000001</c:v>
                </c:pt>
                <c:pt idx="13">
                  <c:v>0.19400000000000001</c:v>
                </c:pt>
                <c:pt idx="14">
                  <c:v>0.19400000000000001</c:v>
                </c:pt>
                <c:pt idx="15">
                  <c:v>0.19400000000000001</c:v>
                </c:pt>
                <c:pt idx="16">
                  <c:v>0.19400000000000001</c:v>
                </c:pt>
                <c:pt idx="17">
                  <c:v>0.19400000000000001</c:v>
                </c:pt>
                <c:pt idx="18">
                  <c:v>0.19400000000000001</c:v>
                </c:pt>
                <c:pt idx="19">
                  <c:v>0.19400000000000001</c:v>
                </c:pt>
                <c:pt idx="20">
                  <c:v>0.19400000000000001</c:v>
                </c:pt>
              </c:numCache>
            </c:numRef>
          </c:yVal>
        </c:ser>
        <c:axId val="259597056"/>
        <c:axId val="259598592"/>
      </c:scatterChart>
      <c:valAx>
        <c:axId val="259597056"/>
        <c:scaling>
          <c:orientation val="minMax"/>
        </c:scaling>
        <c:axPos val="b"/>
        <c:numFmt formatCode="General" sourceLinked="1"/>
        <c:tickLblPos val="nextTo"/>
        <c:crossAx val="259598592"/>
        <c:crosses val="autoZero"/>
        <c:crossBetween val="midCat"/>
      </c:valAx>
      <c:valAx>
        <c:axId val="259598592"/>
        <c:scaling>
          <c:orientation val="minMax"/>
        </c:scaling>
        <c:axPos val="l"/>
        <c:majorGridlines/>
        <c:numFmt formatCode="General" sourceLinked="1"/>
        <c:tickLblPos val="nextTo"/>
        <c:crossAx val="25959705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 Figs'!$A$99</c:f>
          <c:strCache>
            <c:ptCount val="1"/>
            <c:pt idx="0">
              <c:v>JPN_LL</c:v>
            </c:pt>
          </c:strCache>
        </c:strRef>
      </c:tx>
    </c:title>
    <c:plotArea>
      <c:layout/>
      <c:scatterChart>
        <c:scatterStyle val="lineMarker"/>
        <c:ser>
          <c:idx val="0"/>
          <c:order val="0"/>
          <c:tx>
            <c:strRef>
              <c:f>'Selectivity Figs'!$B$101:$B$102</c:f>
              <c:strCache>
                <c:ptCount val="1"/>
                <c:pt idx="0">
                  <c:v>0 -----</c:v>
                </c:pt>
              </c:strCache>
            </c:strRef>
          </c:tx>
          <c:xVal>
            <c:numRef>
              <c:f>'Selectivity Figs'!$A$103:$A$139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'Selectivity Figs'!$B$103:$B$139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1"/>
          <c:order val="1"/>
          <c:tx>
            <c:strRef>
              <c:f>'Selectivity Figs'!$C$101:$C$102</c:f>
              <c:strCache>
                <c:ptCount val="1"/>
                <c:pt idx="0">
                  <c:v>1 -----</c:v>
                </c:pt>
              </c:strCache>
            </c:strRef>
          </c:tx>
          <c:xVal>
            <c:numRef>
              <c:f>'Selectivity Figs'!$A$103:$A$139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'Selectivity Figs'!$C$103:$C$139</c:f>
              <c:numCache>
                <c:formatCode>General</c:formatCode>
                <c:ptCount val="37"/>
                <c:pt idx="0">
                  <c:v>3.0000000000000001E-3</c:v>
                </c:pt>
                <c:pt idx="1">
                  <c:v>3.0000000000000001E-3</c:v>
                </c:pt>
                <c:pt idx="2">
                  <c:v>3.0000000000000001E-3</c:v>
                </c:pt>
                <c:pt idx="3">
                  <c:v>3.0000000000000001E-3</c:v>
                </c:pt>
                <c:pt idx="4">
                  <c:v>3.0000000000000001E-3</c:v>
                </c:pt>
                <c:pt idx="5">
                  <c:v>3.0000000000000001E-3</c:v>
                </c:pt>
                <c:pt idx="6">
                  <c:v>3.0000000000000001E-3</c:v>
                </c:pt>
                <c:pt idx="7">
                  <c:v>3.0000000000000001E-3</c:v>
                </c:pt>
                <c:pt idx="8">
                  <c:v>3.0000000000000001E-3</c:v>
                </c:pt>
                <c:pt idx="9">
                  <c:v>3.0000000000000001E-3</c:v>
                </c:pt>
                <c:pt idx="10">
                  <c:v>3.0000000000000001E-3</c:v>
                </c:pt>
                <c:pt idx="11">
                  <c:v>3.0000000000000001E-3</c:v>
                </c:pt>
                <c:pt idx="12">
                  <c:v>3.0000000000000001E-3</c:v>
                </c:pt>
                <c:pt idx="13">
                  <c:v>3.0000000000000001E-3</c:v>
                </c:pt>
                <c:pt idx="14">
                  <c:v>3.0000000000000001E-3</c:v>
                </c:pt>
                <c:pt idx="15">
                  <c:v>3.0000000000000001E-3</c:v>
                </c:pt>
                <c:pt idx="16">
                  <c:v>3.0000000000000001E-3</c:v>
                </c:pt>
                <c:pt idx="17">
                  <c:v>3.0000000000000001E-3</c:v>
                </c:pt>
                <c:pt idx="18">
                  <c:v>3.0000000000000001E-3</c:v>
                </c:pt>
                <c:pt idx="19">
                  <c:v>3.0000000000000001E-3</c:v>
                </c:pt>
                <c:pt idx="20">
                  <c:v>3.0000000000000001E-3</c:v>
                </c:pt>
                <c:pt idx="21">
                  <c:v>3.0000000000000001E-3</c:v>
                </c:pt>
                <c:pt idx="22">
                  <c:v>3.0000000000000001E-3</c:v>
                </c:pt>
                <c:pt idx="23">
                  <c:v>3.0000000000000001E-3</c:v>
                </c:pt>
                <c:pt idx="24">
                  <c:v>3.0000000000000001E-3</c:v>
                </c:pt>
                <c:pt idx="25">
                  <c:v>3.0000000000000001E-3</c:v>
                </c:pt>
                <c:pt idx="26">
                  <c:v>3.0000000000000001E-3</c:v>
                </c:pt>
                <c:pt idx="27">
                  <c:v>3.0000000000000001E-3</c:v>
                </c:pt>
                <c:pt idx="28">
                  <c:v>3.0000000000000001E-3</c:v>
                </c:pt>
                <c:pt idx="29">
                  <c:v>3.0000000000000001E-3</c:v>
                </c:pt>
                <c:pt idx="30">
                  <c:v>3.0000000000000001E-3</c:v>
                </c:pt>
                <c:pt idx="31">
                  <c:v>3.0000000000000001E-3</c:v>
                </c:pt>
                <c:pt idx="32">
                  <c:v>3.0000000000000001E-3</c:v>
                </c:pt>
                <c:pt idx="33">
                  <c:v>3.0000000000000001E-3</c:v>
                </c:pt>
                <c:pt idx="34">
                  <c:v>3.0000000000000001E-3</c:v>
                </c:pt>
                <c:pt idx="35">
                  <c:v>3.0000000000000001E-3</c:v>
                </c:pt>
                <c:pt idx="36">
                  <c:v>3.0000000000000001E-3</c:v>
                </c:pt>
              </c:numCache>
            </c:numRef>
          </c:yVal>
        </c:ser>
        <c:ser>
          <c:idx val="2"/>
          <c:order val="2"/>
          <c:tx>
            <c:strRef>
              <c:f>'Selectivity Figs'!$D$101:$D$102</c:f>
              <c:strCache>
                <c:ptCount val="1"/>
                <c:pt idx="0">
                  <c:v>2 -----</c:v>
                </c:pt>
              </c:strCache>
            </c:strRef>
          </c:tx>
          <c:xVal>
            <c:numRef>
              <c:f>'Selectivity Figs'!$A$103:$A$139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'Selectivity Figs'!$D$103:$D$139</c:f>
              <c:numCache>
                <c:formatCode>General</c:formatCode>
                <c:ptCount val="37"/>
                <c:pt idx="0">
                  <c:v>0.22800000000000001</c:v>
                </c:pt>
                <c:pt idx="1">
                  <c:v>0.22800000000000001</c:v>
                </c:pt>
                <c:pt idx="2">
                  <c:v>0.22800000000000001</c:v>
                </c:pt>
                <c:pt idx="3">
                  <c:v>0.22800000000000001</c:v>
                </c:pt>
                <c:pt idx="4">
                  <c:v>0.22800000000000001</c:v>
                </c:pt>
                <c:pt idx="5">
                  <c:v>0.22800000000000001</c:v>
                </c:pt>
                <c:pt idx="6">
                  <c:v>0.22800000000000001</c:v>
                </c:pt>
                <c:pt idx="7">
                  <c:v>0.22800000000000001</c:v>
                </c:pt>
                <c:pt idx="8">
                  <c:v>0.22800000000000001</c:v>
                </c:pt>
                <c:pt idx="9">
                  <c:v>0.22800000000000001</c:v>
                </c:pt>
                <c:pt idx="10">
                  <c:v>0.22800000000000001</c:v>
                </c:pt>
                <c:pt idx="11">
                  <c:v>0.22800000000000001</c:v>
                </c:pt>
                <c:pt idx="12">
                  <c:v>0.22800000000000001</c:v>
                </c:pt>
                <c:pt idx="13">
                  <c:v>0.22800000000000001</c:v>
                </c:pt>
                <c:pt idx="14">
                  <c:v>0.22800000000000001</c:v>
                </c:pt>
                <c:pt idx="15">
                  <c:v>0.22800000000000001</c:v>
                </c:pt>
                <c:pt idx="16">
                  <c:v>0.22800000000000001</c:v>
                </c:pt>
                <c:pt idx="17">
                  <c:v>0.22800000000000001</c:v>
                </c:pt>
                <c:pt idx="18">
                  <c:v>0.22800000000000001</c:v>
                </c:pt>
                <c:pt idx="19">
                  <c:v>0.22800000000000001</c:v>
                </c:pt>
                <c:pt idx="20">
                  <c:v>0.22800000000000001</c:v>
                </c:pt>
                <c:pt idx="21">
                  <c:v>0.22800000000000001</c:v>
                </c:pt>
                <c:pt idx="22">
                  <c:v>0.22800000000000001</c:v>
                </c:pt>
                <c:pt idx="23">
                  <c:v>0.22800000000000001</c:v>
                </c:pt>
                <c:pt idx="24">
                  <c:v>0.22800000000000001</c:v>
                </c:pt>
                <c:pt idx="25">
                  <c:v>0.22800000000000001</c:v>
                </c:pt>
                <c:pt idx="26">
                  <c:v>0.22800000000000001</c:v>
                </c:pt>
                <c:pt idx="27">
                  <c:v>0.22800000000000001</c:v>
                </c:pt>
                <c:pt idx="28">
                  <c:v>0.22800000000000001</c:v>
                </c:pt>
                <c:pt idx="29">
                  <c:v>0.22800000000000001</c:v>
                </c:pt>
                <c:pt idx="30">
                  <c:v>0.22800000000000001</c:v>
                </c:pt>
                <c:pt idx="31">
                  <c:v>0.22800000000000001</c:v>
                </c:pt>
                <c:pt idx="32">
                  <c:v>0.22800000000000001</c:v>
                </c:pt>
                <c:pt idx="33">
                  <c:v>0.22800000000000001</c:v>
                </c:pt>
                <c:pt idx="34">
                  <c:v>0.22800000000000001</c:v>
                </c:pt>
                <c:pt idx="35">
                  <c:v>0.22800000000000001</c:v>
                </c:pt>
                <c:pt idx="36">
                  <c:v>0.22800000000000001</c:v>
                </c:pt>
              </c:numCache>
            </c:numRef>
          </c:yVal>
        </c:ser>
        <c:ser>
          <c:idx val="3"/>
          <c:order val="3"/>
          <c:tx>
            <c:strRef>
              <c:f>'Selectivity Figs'!$E$101:$E$102</c:f>
              <c:strCache>
                <c:ptCount val="1"/>
                <c:pt idx="0">
                  <c:v>3 -----</c:v>
                </c:pt>
              </c:strCache>
            </c:strRef>
          </c:tx>
          <c:xVal>
            <c:numRef>
              <c:f>'Selectivity Figs'!$A$103:$A$139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'Selectivity Figs'!$E$103:$E$139</c:f>
              <c:numCache>
                <c:formatCode>General</c:formatCode>
                <c:ptCount val="3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</c:numCache>
            </c:numRef>
          </c:yVal>
        </c:ser>
        <c:ser>
          <c:idx val="4"/>
          <c:order val="4"/>
          <c:tx>
            <c:strRef>
              <c:f>'Selectivity Figs'!$F$101:$F$102</c:f>
              <c:strCache>
                <c:ptCount val="1"/>
                <c:pt idx="0">
                  <c:v>4 -----</c:v>
                </c:pt>
              </c:strCache>
            </c:strRef>
          </c:tx>
          <c:xVal>
            <c:numRef>
              <c:f>'Selectivity Figs'!$A$103:$A$139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'Selectivity Figs'!$F$103:$F$139</c:f>
              <c:numCache>
                <c:formatCode>General</c:formatCode>
                <c:ptCount val="37"/>
                <c:pt idx="0">
                  <c:v>0.96499999999999997</c:v>
                </c:pt>
                <c:pt idx="1">
                  <c:v>0.96499999999999997</c:v>
                </c:pt>
                <c:pt idx="2">
                  <c:v>0.96499999999999997</c:v>
                </c:pt>
                <c:pt idx="3">
                  <c:v>0.96499999999999997</c:v>
                </c:pt>
                <c:pt idx="4">
                  <c:v>0.96499999999999997</c:v>
                </c:pt>
                <c:pt idx="5">
                  <c:v>0.96499999999999997</c:v>
                </c:pt>
                <c:pt idx="6">
                  <c:v>0.96499999999999997</c:v>
                </c:pt>
                <c:pt idx="7">
                  <c:v>0.96499999999999997</c:v>
                </c:pt>
                <c:pt idx="8">
                  <c:v>0.96499999999999997</c:v>
                </c:pt>
                <c:pt idx="9">
                  <c:v>0.96499999999999997</c:v>
                </c:pt>
                <c:pt idx="10">
                  <c:v>0.96499999999999997</c:v>
                </c:pt>
                <c:pt idx="11">
                  <c:v>0.96499999999999997</c:v>
                </c:pt>
                <c:pt idx="12">
                  <c:v>0.96499999999999997</c:v>
                </c:pt>
                <c:pt idx="13">
                  <c:v>0.96499999999999997</c:v>
                </c:pt>
                <c:pt idx="14">
                  <c:v>0.96499999999999997</c:v>
                </c:pt>
                <c:pt idx="15">
                  <c:v>0.96499999999999997</c:v>
                </c:pt>
                <c:pt idx="16">
                  <c:v>0.96499999999999997</c:v>
                </c:pt>
                <c:pt idx="17">
                  <c:v>0.96499999999999997</c:v>
                </c:pt>
                <c:pt idx="18">
                  <c:v>0.96499999999999997</c:v>
                </c:pt>
                <c:pt idx="19">
                  <c:v>0.96499999999999997</c:v>
                </c:pt>
                <c:pt idx="20">
                  <c:v>0.96499999999999997</c:v>
                </c:pt>
                <c:pt idx="21">
                  <c:v>0.96499999999999997</c:v>
                </c:pt>
                <c:pt idx="22">
                  <c:v>0.96499999999999997</c:v>
                </c:pt>
                <c:pt idx="23">
                  <c:v>0.96499999999999997</c:v>
                </c:pt>
                <c:pt idx="24">
                  <c:v>0.96499999999999997</c:v>
                </c:pt>
                <c:pt idx="25">
                  <c:v>0.96499999999999997</c:v>
                </c:pt>
                <c:pt idx="26">
                  <c:v>0.96499999999999997</c:v>
                </c:pt>
                <c:pt idx="27">
                  <c:v>0.96499999999999997</c:v>
                </c:pt>
                <c:pt idx="28">
                  <c:v>0.96499999999999997</c:v>
                </c:pt>
                <c:pt idx="29">
                  <c:v>0.96499999999999997</c:v>
                </c:pt>
                <c:pt idx="30">
                  <c:v>0.96499999999999997</c:v>
                </c:pt>
                <c:pt idx="31">
                  <c:v>0.96499999999999997</c:v>
                </c:pt>
                <c:pt idx="32">
                  <c:v>0.96499999999999997</c:v>
                </c:pt>
                <c:pt idx="33">
                  <c:v>0.96499999999999997</c:v>
                </c:pt>
                <c:pt idx="34">
                  <c:v>0.96499999999999997</c:v>
                </c:pt>
                <c:pt idx="35">
                  <c:v>0.96499999999999997</c:v>
                </c:pt>
                <c:pt idx="36">
                  <c:v>0.96499999999999997</c:v>
                </c:pt>
              </c:numCache>
            </c:numRef>
          </c:yVal>
        </c:ser>
        <c:ser>
          <c:idx val="5"/>
          <c:order val="5"/>
          <c:tx>
            <c:strRef>
              <c:f>'Selectivity Figs'!$G$101:$G$102</c:f>
              <c:strCache>
                <c:ptCount val="1"/>
                <c:pt idx="0">
                  <c:v>5 -----</c:v>
                </c:pt>
              </c:strCache>
            </c:strRef>
          </c:tx>
          <c:xVal>
            <c:numRef>
              <c:f>'Selectivity Figs'!$A$103:$A$139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'Selectivity Figs'!$G$103:$G$139</c:f>
              <c:numCache>
                <c:formatCode>General</c:formatCode>
                <c:ptCount val="37"/>
                <c:pt idx="0">
                  <c:v>0.20799999999999999</c:v>
                </c:pt>
                <c:pt idx="1">
                  <c:v>0.20799999999999999</c:v>
                </c:pt>
                <c:pt idx="2">
                  <c:v>0.20799999999999999</c:v>
                </c:pt>
                <c:pt idx="3">
                  <c:v>0.20799999999999999</c:v>
                </c:pt>
                <c:pt idx="4">
                  <c:v>0.20799999999999999</c:v>
                </c:pt>
                <c:pt idx="5">
                  <c:v>0.20799999999999999</c:v>
                </c:pt>
                <c:pt idx="6">
                  <c:v>0.20799999999999999</c:v>
                </c:pt>
                <c:pt idx="7">
                  <c:v>0.20799999999999999</c:v>
                </c:pt>
                <c:pt idx="8">
                  <c:v>0.20799999999999999</c:v>
                </c:pt>
                <c:pt idx="9">
                  <c:v>0.20799999999999999</c:v>
                </c:pt>
                <c:pt idx="10">
                  <c:v>0.20799999999999999</c:v>
                </c:pt>
                <c:pt idx="11">
                  <c:v>0.20799999999999999</c:v>
                </c:pt>
                <c:pt idx="12">
                  <c:v>0.20799999999999999</c:v>
                </c:pt>
                <c:pt idx="13">
                  <c:v>0.20799999999999999</c:v>
                </c:pt>
                <c:pt idx="14">
                  <c:v>0.20799999999999999</c:v>
                </c:pt>
                <c:pt idx="15">
                  <c:v>0.20799999999999999</c:v>
                </c:pt>
                <c:pt idx="16">
                  <c:v>0.20799999999999999</c:v>
                </c:pt>
                <c:pt idx="17">
                  <c:v>0.20799999999999999</c:v>
                </c:pt>
                <c:pt idx="18">
                  <c:v>0.20799999999999999</c:v>
                </c:pt>
                <c:pt idx="19">
                  <c:v>0.20799999999999999</c:v>
                </c:pt>
                <c:pt idx="20">
                  <c:v>0.20799999999999999</c:v>
                </c:pt>
                <c:pt idx="21">
                  <c:v>0.20799999999999999</c:v>
                </c:pt>
                <c:pt idx="22">
                  <c:v>0.20799999999999999</c:v>
                </c:pt>
                <c:pt idx="23">
                  <c:v>0.20799999999999999</c:v>
                </c:pt>
                <c:pt idx="24">
                  <c:v>0.20799999999999999</c:v>
                </c:pt>
                <c:pt idx="25">
                  <c:v>0.20799999999999999</c:v>
                </c:pt>
                <c:pt idx="26">
                  <c:v>0.20799999999999999</c:v>
                </c:pt>
                <c:pt idx="27">
                  <c:v>0.20799999999999999</c:v>
                </c:pt>
                <c:pt idx="28">
                  <c:v>0.20799999999999999</c:v>
                </c:pt>
                <c:pt idx="29">
                  <c:v>0.20799999999999999</c:v>
                </c:pt>
                <c:pt idx="30">
                  <c:v>0.20799999999999999</c:v>
                </c:pt>
                <c:pt idx="31">
                  <c:v>0.20799999999999999</c:v>
                </c:pt>
                <c:pt idx="32">
                  <c:v>0.20799999999999999</c:v>
                </c:pt>
                <c:pt idx="33">
                  <c:v>0.20799999999999999</c:v>
                </c:pt>
                <c:pt idx="34">
                  <c:v>0.20799999999999999</c:v>
                </c:pt>
                <c:pt idx="35">
                  <c:v>0.20799999999999999</c:v>
                </c:pt>
                <c:pt idx="36">
                  <c:v>0.20799999999999999</c:v>
                </c:pt>
              </c:numCache>
            </c:numRef>
          </c:yVal>
        </c:ser>
        <c:axId val="259642496"/>
        <c:axId val="259644032"/>
      </c:scatterChart>
      <c:valAx>
        <c:axId val="259642496"/>
        <c:scaling>
          <c:orientation val="minMax"/>
        </c:scaling>
        <c:axPos val="b"/>
        <c:numFmt formatCode="General" sourceLinked="1"/>
        <c:tickLblPos val="nextTo"/>
        <c:crossAx val="259644032"/>
        <c:crosses val="autoZero"/>
        <c:crossBetween val="midCat"/>
      </c:valAx>
      <c:valAx>
        <c:axId val="259644032"/>
        <c:scaling>
          <c:orientation val="minMax"/>
        </c:scaling>
        <c:axPos val="l"/>
        <c:majorGridlines/>
        <c:numFmt formatCode="General" sourceLinked="1"/>
        <c:tickLblPos val="nextTo"/>
        <c:crossAx val="25964249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 Figs'!$A$149</c:f>
          <c:strCache>
            <c:ptCount val="1"/>
            <c:pt idx="0">
              <c:v>USMEX_LL</c:v>
            </c:pt>
          </c:strCache>
        </c:strRef>
      </c:tx>
    </c:title>
    <c:plotArea>
      <c:layout/>
      <c:scatterChart>
        <c:scatterStyle val="lineMarker"/>
        <c:ser>
          <c:idx val="0"/>
          <c:order val="0"/>
          <c:tx>
            <c:strRef>
              <c:f>'Selectivity Figs'!$B$151:$B$152</c:f>
              <c:strCache>
                <c:ptCount val="1"/>
                <c:pt idx="0">
                  <c:v>0 -----</c:v>
                </c:pt>
              </c:strCache>
            </c:strRef>
          </c:tx>
          <c:xVal>
            <c:numRef>
              <c:f>'Selectivity Figs'!$A$153:$A$166</c:f>
              <c:numCache>
                <c:formatCode>General</c:formatCode>
                <c:ptCount val="14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</c:numCache>
            </c:numRef>
          </c:xVal>
          <c:yVal>
            <c:numRef>
              <c:f>'Selectivity Figs'!$B$153:$B$166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1"/>
          <c:order val="1"/>
          <c:tx>
            <c:strRef>
              <c:f>'Selectivity Figs'!$C$151:$C$152</c:f>
              <c:strCache>
                <c:ptCount val="1"/>
                <c:pt idx="0">
                  <c:v>1 -----</c:v>
                </c:pt>
              </c:strCache>
            </c:strRef>
          </c:tx>
          <c:xVal>
            <c:numRef>
              <c:f>'Selectivity Figs'!$A$153:$A$166</c:f>
              <c:numCache>
                <c:formatCode>General</c:formatCode>
                <c:ptCount val="14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</c:numCache>
            </c:numRef>
          </c:xVal>
          <c:yVal>
            <c:numRef>
              <c:f>'Selectivity Figs'!$C$153:$C$166</c:f>
              <c:numCache>
                <c:formatCode>General</c:formatCode>
                <c:ptCount val="14"/>
                <c:pt idx="0">
                  <c:v>6.0000000000000001E-3</c:v>
                </c:pt>
                <c:pt idx="1">
                  <c:v>6.0000000000000001E-3</c:v>
                </c:pt>
                <c:pt idx="2">
                  <c:v>6.0000000000000001E-3</c:v>
                </c:pt>
                <c:pt idx="3">
                  <c:v>6.0000000000000001E-3</c:v>
                </c:pt>
                <c:pt idx="4">
                  <c:v>6.0000000000000001E-3</c:v>
                </c:pt>
                <c:pt idx="5">
                  <c:v>6.0000000000000001E-3</c:v>
                </c:pt>
                <c:pt idx="6">
                  <c:v>6.0000000000000001E-3</c:v>
                </c:pt>
                <c:pt idx="7">
                  <c:v>6.0000000000000001E-3</c:v>
                </c:pt>
                <c:pt idx="8">
                  <c:v>6.0000000000000001E-3</c:v>
                </c:pt>
                <c:pt idx="9">
                  <c:v>6.0000000000000001E-3</c:v>
                </c:pt>
                <c:pt idx="10">
                  <c:v>6.0000000000000001E-3</c:v>
                </c:pt>
                <c:pt idx="11">
                  <c:v>6.0000000000000001E-3</c:v>
                </c:pt>
                <c:pt idx="12">
                  <c:v>6.0000000000000001E-3</c:v>
                </c:pt>
                <c:pt idx="13">
                  <c:v>6.0000000000000001E-3</c:v>
                </c:pt>
              </c:numCache>
            </c:numRef>
          </c:yVal>
        </c:ser>
        <c:ser>
          <c:idx val="2"/>
          <c:order val="2"/>
          <c:tx>
            <c:strRef>
              <c:f>'Selectivity Figs'!$D$151:$D$152</c:f>
              <c:strCache>
                <c:ptCount val="1"/>
                <c:pt idx="0">
                  <c:v>2 -----</c:v>
                </c:pt>
              </c:strCache>
            </c:strRef>
          </c:tx>
          <c:xVal>
            <c:numRef>
              <c:f>'Selectivity Figs'!$A$153:$A$166</c:f>
              <c:numCache>
                <c:formatCode>General</c:formatCode>
                <c:ptCount val="14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</c:numCache>
            </c:numRef>
          </c:xVal>
          <c:yVal>
            <c:numRef>
              <c:f>'Selectivity Figs'!$D$153:$D$166</c:f>
              <c:numCache>
                <c:formatCode>General</c:formatCode>
                <c:ptCount val="14"/>
                <c:pt idx="0">
                  <c:v>0.28199999999999997</c:v>
                </c:pt>
                <c:pt idx="1">
                  <c:v>0.28199999999999997</c:v>
                </c:pt>
                <c:pt idx="2">
                  <c:v>0.28199999999999997</c:v>
                </c:pt>
                <c:pt idx="3">
                  <c:v>0.28199999999999997</c:v>
                </c:pt>
                <c:pt idx="4">
                  <c:v>0.28199999999999997</c:v>
                </c:pt>
                <c:pt idx="5">
                  <c:v>0.28199999999999997</c:v>
                </c:pt>
                <c:pt idx="6">
                  <c:v>0.28199999999999997</c:v>
                </c:pt>
                <c:pt idx="7">
                  <c:v>0.28199999999999997</c:v>
                </c:pt>
                <c:pt idx="8">
                  <c:v>0.28199999999999997</c:v>
                </c:pt>
                <c:pt idx="9">
                  <c:v>0.28199999999999997</c:v>
                </c:pt>
                <c:pt idx="10">
                  <c:v>0.28199999999999997</c:v>
                </c:pt>
                <c:pt idx="11">
                  <c:v>0.28199999999999997</c:v>
                </c:pt>
                <c:pt idx="12">
                  <c:v>0.28199999999999997</c:v>
                </c:pt>
                <c:pt idx="13">
                  <c:v>0.28199999999999997</c:v>
                </c:pt>
              </c:numCache>
            </c:numRef>
          </c:yVal>
        </c:ser>
        <c:ser>
          <c:idx val="3"/>
          <c:order val="3"/>
          <c:tx>
            <c:strRef>
              <c:f>'Selectivity Figs'!$E$151:$E$152</c:f>
              <c:strCache>
                <c:ptCount val="1"/>
                <c:pt idx="0">
                  <c:v>3 -----</c:v>
                </c:pt>
              </c:strCache>
            </c:strRef>
          </c:tx>
          <c:xVal>
            <c:numRef>
              <c:f>'Selectivity Figs'!$A$153:$A$166</c:f>
              <c:numCache>
                <c:formatCode>General</c:formatCode>
                <c:ptCount val="14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</c:numCache>
            </c:numRef>
          </c:xVal>
          <c:yVal>
            <c:numRef>
              <c:f>'Selectivity Figs'!$E$153:$E$166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</c:ser>
        <c:ser>
          <c:idx val="4"/>
          <c:order val="4"/>
          <c:tx>
            <c:strRef>
              <c:f>'Selectivity Figs'!$F$151:$F$152</c:f>
              <c:strCache>
                <c:ptCount val="1"/>
                <c:pt idx="0">
                  <c:v>4 -----</c:v>
                </c:pt>
              </c:strCache>
            </c:strRef>
          </c:tx>
          <c:xVal>
            <c:numRef>
              <c:f>'Selectivity Figs'!$A$153:$A$166</c:f>
              <c:numCache>
                <c:formatCode>General</c:formatCode>
                <c:ptCount val="14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</c:numCache>
            </c:numRef>
          </c:xVal>
          <c:yVal>
            <c:numRef>
              <c:f>'Selectivity Figs'!$F$153:$F$166</c:f>
              <c:numCache>
                <c:formatCode>General</c:formatCode>
                <c:ptCount val="14"/>
                <c:pt idx="0">
                  <c:v>0.64900000000000002</c:v>
                </c:pt>
                <c:pt idx="1">
                  <c:v>0.64900000000000002</c:v>
                </c:pt>
                <c:pt idx="2">
                  <c:v>0.64900000000000002</c:v>
                </c:pt>
                <c:pt idx="3">
                  <c:v>0.64900000000000002</c:v>
                </c:pt>
                <c:pt idx="4">
                  <c:v>0.64900000000000002</c:v>
                </c:pt>
                <c:pt idx="5">
                  <c:v>0.64900000000000002</c:v>
                </c:pt>
                <c:pt idx="6">
                  <c:v>0.64900000000000002</c:v>
                </c:pt>
                <c:pt idx="7">
                  <c:v>0.64900000000000002</c:v>
                </c:pt>
                <c:pt idx="8">
                  <c:v>0.64900000000000002</c:v>
                </c:pt>
                <c:pt idx="9">
                  <c:v>0.64900000000000002</c:v>
                </c:pt>
                <c:pt idx="10">
                  <c:v>0.64900000000000002</c:v>
                </c:pt>
                <c:pt idx="11">
                  <c:v>0.64900000000000002</c:v>
                </c:pt>
                <c:pt idx="12">
                  <c:v>0.64900000000000002</c:v>
                </c:pt>
                <c:pt idx="13">
                  <c:v>0.64900000000000002</c:v>
                </c:pt>
              </c:numCache>
            </c:numRef>
          </c:yVal>
        </c:ser>
        <c:ser>
          <c:idx val="5"/>
          <c:order val="5"/>
          <c:tx>
            <c:strRef>
              <c:f>'Selectivity Figs'!$G$151:$G$152</c:f>
              <c:strCache>
                <c:ptCount val="1"/>
                <c:pt idx="0">
                  <c:v>5 -----</c:v>
                </c:pt>
              </c:strCache>
            </c:strRef>
          </c:tx>
          <c:xVal>
            <c:numRef>
              <c:f>'Selectivity Figs'!$A$153:$A$166</c:f>
              <c:numCache>
                <c:formatCode>General</c:formatCode>
                <c:ptCount val="14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</c:numCache>
            </c:numRef>
          </c:xVal>
          <c:yVal>
            <c:numRef>
              <c:f>'Selectivity Figs'!$G$153:$G$166</c:f>
              <c:numCache>
                <c:formatCode>General</c:formatCode>
                <c:ptCount val="14"/>
                <c:pt idx="0">
                  <c:v>5.0999999999999997E-2</c:v>
                </c:pt>
                <c:pt idx="1">
                  <c:v>5.0999999999999997E-2</c:v>
                </c:pt>
                <c:pt idx="2">
                  <c:v>5.0999999999999997E-2</c:v>
                </c:pt>
                <c:pt idx="3">
                  <c:v>5.0999999999999997E-2</c:v>
                </c:pt>
                <c:pt idx="4">
                  <c:v>5.0999999999999997E-2</c:v>
                </c:pt>
                <c:pt idx="5">
                  <c:v>5.0999999999999997E-2</c:v>
                </c:pt>
                <c:pt idx="6">
                  <c:v>5.0999999999999997E-2</c:v>
                </c:pt>
                <c:pt idx="7">
                  <c:v>5.0999999999999997E-2</c:v>
                </c:pt>
                <c:pt idx="8">
                  <c:v>5.0999999999999997E-2</c:v>
                </c:pt>
                <c:pt idx="9">
                  <c:v>5.0999999999999997E-2</c:v>
                </c:pt>
                <c:pt idx="10">
                  <c:v>5.0999999999999997E-2</c:v>
                </c:pt>
                <c:pt idx="11">
                  <c:v>5.0999999999999997E-2</c:v>
                </c:pt>
                <c:pt idx="12">
                  <c:v>5.0999999999999997E-2</c:v>
                </c:pt>
                <c:pt idx="13">
                  <c:v>5.0999999999999997E-2</c:v>
                </c:pt>
              </c:numCache>
            </c:numRef>
          </c:yVal>
        </c:ser>
        <c:axId val="258398464"/>
        <c:axId val="220598272"/>
      </c:scatterChart>
      <c:valAx>
        <c:axId val="258398464"/>
        <c:scaling>
          <c:orientation val="minMax"/>
        </c:scaling>
        <c:axPos val="b"/>
        <c:numFmt formatCode="General" sourceLinked="1"/>
        <c:tickLblPos val="nextTo"/>
        <c:crossAx val="220598272"/>
        <c:crosses val="autoZero"/>
        <c:crossBetween val="midCat"/>
      </c:valAx>
      <c:valAx>
        <c:axId val="220598272"/>
        <c:scaling>
          <c:orientation val="minMax"/>
        </c:scaling>
        <c:axPos val="l"/>
        <c:majorGridlines/>
        <c:numFmt formatCode="General" sourceLinked="1"/>
        <c:tickLblPos val="nextTo"/>
        <c:crossAx val="25839846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 Figs'!$A$299</c:f>
          <c:strCache>
            <c:ptCount val="1"/>
            <c:pt idx="0">
              <c:v>VEN_LL</c:v>
            </c:pt>
          </c:strCache>
        </c:strRef>
      </c:tx>
    </c:title>
    <c:plotArea>
      <c:layout/>
      <c:scatterChart>
        <c:scatterStyle val="lineMarker"/>
        <c:ser>
          <c:idx val="0"/>
          <c:order val="0"/>
          <c:tx>
            <c:strRef>
              <c:f>'Selectivity Figs'!$B$301:$B$302</c:f>
              <c:strCache>
                <c:ptCount val="1"/>
                <c:pt idx="0">
                  <c:v>0 -----</c:v>
                </c:pt>
              </c:strCache>
            </c:strRef>
          </c:tx>
          <c:xVal>
            <c:numRef>
              <c:f>'Selectivity Figs'!$A$303:$A$313</c:f>
              <c:numCache>
                <c:formatCode>General</c:formatCode>
                <c:ptCount val="11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</c:numCache>
            </c:numRef>
          </c:xVal>
          <c:yVal>
            <c:numRef>
              <c:f>'Selectivity Figs'!$B$303:$B$313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</c:ser>
        <c:ser>
          <c:idx val="1"/>
          <c:order val="1"/>
          <c:tx>
            <c:strRef>
              <c:f>'Selectivity Figs'!$C$301:$C$302</c:f>
              <c:strCache>
                <c:ptCount val="1"/>
                <c:pt idx="0">
                  <c:v>1 -----</c:v>
                </c:pt>
              </c:strCache>
            </c:strRef>
          </c:tx>
          <c:xVal>
            <c:numRef>
              <c:f>'Selectivity Figs'!$A$303:$A$313</c:f>
              <c:numCache>
                <c:formatCode>General</c:formatCode>
                <c:ptCount val="11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</c:numCache>
            </c:numRef>
          </c:xVal>
          <c:yVal>
            <c:numRef>
              <c:f>'Selectivity Figs'!$C$303:$C$313</c:f>
              <c:numCache>
                <c:formatCode>General</c:formatCode>
                <c:ptCount val="11"/>
                <c:pt idx="0">
                  <c:v>1.6E-2</c:v>
                </c:pt>
                <c:pt idx="1">
                  <c:v>1.6E-2</c:v>
                </c:pt>
                <c:pt idx="2">
                  <c:v>1.6E-2</c:v>
                </c:pt>
                <c:pt idx="3">
                  <c:v>1.6E-2</c:v>
                </c:pt>
                <c:pt idx="4">
                  <c:v>1.6E-2</c:v>
                </c:pt>
                <c:pt idx="5">
                  <c:v>1.6E-2</c:v>
                </c:pt>
                <c:pt idx="6">
                  <c:v>1.6E-2</c:v>
                </c:pt>
                <c:pt idx="7">
                  <c:v>1.6E-2</c:v>
                </c:pt>
                <c:pt idx="8">
                  <c:v>1.6E-2</c:v>
                </c:pt>
                <c:pt idx="9">
                  <c:v>1.6E-2</c:v>
                </c:pt>
                <c:pt idx="10">
                  <c:v>1.6E-2</c:v>
                </c:pt>
              </c:numCache>
            </c:numRef>
          </c:yVal>
        </c:ser>
        <c:ser>
          <c:idx val="2"/>
          <c:order val="2"/>
          <c:tx>
            <c:strRef>
              <c:f>'Selectivity Figs'!$D$301:$D$302</c:f>
              <c:strCache>
                <c:ptCount val="1"/>
                <c:pt idx="0">
                  <c:v>2 -----</c:v>
                </c:pt>
              </c:strCache>
            </c:strRef>
          </c:tx>
          <c:xVal>
            <c:numRef>
              <c:f>'Selectivity Figs'!$A$303:$A$313</c:f>
              <c:numCache>
                <c:formatCode>General</c:formatCode>
                <c:ptCount val="11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</c:numCache>
            </c:numRef>
          </c:xVal>
          <c:yVal>
            <c:numRef>
              <c:f>'Selectivity Figs'!$D$303:$D$313</c:f>
              <c:numCache>
                <c:formatCode>General</c:formatCode>
                <c:ptCount val="11"/>
                <c:pt idx="0">
                  <c:v>0.11799999999999999</c:v>
                </c:pt>
                <c:pt idx="1">
                  <c:v>0.11799999999999999</c:v>
                </c:pt>
                <c:pt idx="2">
                  <c:v>0.11799999999999999</c:v>
                </c:pt>
                <c:pt idx="3">
                  <c:v>0.11799999999999999</c:v>
                </c:pt>
                <c:pt idx="4">
                  <c:v>0.11799999999999999</c:v>
                </c:pt>
                <c:pt idx="5">
                  <c:v>0.11799999999999999</c:v>
                </c:pt>
                <c:pt idx="6">
                  <c:v>0.11799999999999999</c:v>
                </c:pt>
                <c:pt idx="7">
                  <c:v>0.11799999999999999</c:v>
                </c:pt>
                <c:pt idx="8">
                  <c:v>0.11799999999999999</c:v>
                </c:pt>
                <c:pt idx="9">
                  <c:v>0.11799999999999999</c:v>
                </c:pt>
                <c:pt idx="10">
                  <c:v>0.11799999999999999</c:v>
                </c:pt>
              </c:numCache>
            </c:numRef>
          </c:yVal>
        </c:ser>
        <c:ser>
          <c:idx val="3"/>
          <c:order val="3"/>
          <c:tx>
            <c:strRef>
              <c:f>'Selectivity Figs'!$E$301:$E$302</c:f>
              <c:strCache>
                <c:ptCount val="1"/>
                <c:pt idx="0">
                  <c:v>3 -----</c:v>
                </c:pt>
              </c:strCache>
            </c:strRef>
          </c:tx>
          <c:xVal>
            <c:numRef>
              <c:f>'Selectivity Figs'!$A$303:$A$313</c:f>
              <c:numCache>
                <c:formatCode>General</c:formatCode>
                <c:ptCount val="11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</c:numCache>
            </c:numRef>
          </c:xVal>
          <c:yVal>
            <c:numRef>
              <c:f>'Selectivity Figs'!$E$303:$E$313</c:f>
              <c:numCache>
                <c:formatCode>General</c:formatCode>
                <c:ptCount val="11"/>
                <c:pt idx="0">
                  <c:v>0.84</c:v>
                </c:pt>
                <c:pt idx="1">
                  <c:v>0.84</c:v>
                </c:pt>
                <c:pt idx="2">
                  <c:v>0.84</c:v>
                </c:pt>
                <c:pt idx="3">
                  <c:v>0.84</c:v>
                </c:pt>
                <c:pt idx="4">
                  <c:v>0.84</c:v>
                </c:pt>
                <c:pt idx="5">
                  <c:v>0.84</c:v>
                </c:pt>
                <c:pt idx="6">
                  <c:v>0.84</c:v>
                </c:pt>
                <c:pt idx="7">
                  <c:v>0.84</c:v>
                </c:pt>
                <c:pt idx="8">
                  <c:v>0.84</c:v>
                </c:pt>
                <c:pt idx="9">
                  <c:v>0.84</c:v>
                </c:pt>
                <c:pt idx="10">
                  <c:v>0.84</c:v>
                </c:pt>
              </c:numCache>
            </c:numRef>
          </c:yVal>
        </c:ser>
        <c:ser>
          <c:idx val="4"/>
          <c:order val="4"/>
          <c:tx>
            <c:strRef>
              <c:f>'Selectivity Figs'!$F$301:$F$302</c:f>
              <c:strCache>
                <c:ptCount val="1"/>
                <c:pt idx="0">
                  <c:v>4 -----</c:v>
                </c:pt>
              </c:strCache>
            </c:strRef>
          </c:tx>
          <c:xVal>
            <c:numRef>
              <c:f>'Selectivity Figs'!$A$303:$A$313</c:f>
              <c:numCache>
                <c:formatCode>General</c:formatCode>
                <c:ptCount val="11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</c:numCache>
            </c:numRef>
          </c:xVal>
          <c:yVal>
            <c:numRef>
              <c:f>'Selectivity Figs'!$F$303:$F$313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yVal>
        </c:ser>
        <c:ser>
          <c:idx val="5"/>
          <c:order val="5"/>
          <c:tx>
            <c:strRef>
              <c:f>'Selectivity Figs'!$G$301:$G$302</c:f>
              <c:strCache>
                <c:ptCount val="1"/>
                <c:pt idx="0">
                  <c:v>5 -----</c:v>
                </c:pt>
              </c:strCache>
            </c:strRef>
          </c:tx>
          <c:xVal>
            <c:numRef>
              <c:f>'Selectivity Figs'!$A$303:$A$313</c:f>
              <c:numCache>
                <c:formatCode>General</c:formatCode>
                <c:ptCount val="11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</c:numCache>
            </c:numRef>
          </c:xVal>
          <c:yVal>
            <c:numRef>
              <c:f>'Selectivity Figs'!$G$303:$G$313</c:f>
              <c:numCache>
                <c:formatCode>General</c:formatCode>
                <c:ptCount val="11"/>
                <c:pt idx="0">
                  <c:v>0.36299999999999999</c:v>
                </c:pt>
                <c:pt idx="1">
                  <c:v>0.36299999999999999</c:v>
                </c:pt>
                <c:pt idx="2">
                  <c:v>0.36299999999999999</c:v>
                </c:pt>
                <c:pt idx="3">
                  <c:v>0.36299999999999999</c:v>
                </c:pt>
                <c:pt idx="4">
                  <c:v>0.36299999999999999</c:v>
                </c:pt>
                <c:pt idx="5">
                  <c:v>0.36299999999999999</c:v>
                </c:pt>
                <c:pt idx="6">
                  <c:v>0.36299999999999999</c:v>
                </c:pt>
                <c:pt idx="7">
                  <c:v>0.36299999999999999</c:v>
                </c:pt>
                <c:pt idx="8">
                  <c:v>0.36299999999999999</c:v>
                </c:pt>
                <c:pt idx="9">
                  <c:v>0.36299999999999999</c:v>
                </c:pt>
                <c:pt idx="10">
                  <c:v>0.36299999999999999</c:v>
                </c:pt>
              </c:numCache>
            </c:numRef>
          </c:yVal>
        </c:ser>
        <c:axId val="220634496"/>
        <c:axId val="220640384"/>
      </c:scatterChart>
      <c:valAx>
        <c:axId val="220634496"/>
        <c:scaling>
          <c:orientation val="minMax"/>
        </c:scaling>
        <c:axPos val="b"/>
        <c:numFmt formatCode="General" sourceLinked="1"/>
        <c:tickLblPos val="nextTo"/>
        <c:crossAx val="220640384"/>
        <c:crosses val="autoZero"/>
        <c:crossBetween val="midCat"/>
      </c:valAx>
      <c:valAx>
        <c:axId val="220640384"/>
        <c:scaling>
          <c:orientation val="minMax"/>
        </c:scaling>
        <c:axPos val="l"/>
        <c:majorGridlines/>
        <c:numFmt formatCode="General" sourceLinked="1"/>
        <c:tickLblPos val="nextTo"/>
        <c:crossAx val="22063449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 Figs'!$A$449</c:f>
          <c:strCache>
            <c:ptCount val="1"/>
            <c:pt idx="0">
              <c:v>EUR-PS 3%</c:v>
            </c:pt>
          </c:strCache>
        </c:strRef>
      </c:tx>
    </c:title>
    <c:plotArea>
      <c:layout/>
      <c:scatterChart>
        <c:scatterStyle val="lineMarker"/>
        <c:ser>
          <c:idx val="0"/>
          <c:order val="0"/>
          <c:tx>
            <c:strRef>
              <c:f>'Selectivity Figs'!$B$450:$B$451</c:f>
              <c:strCache>
                <c:ptCount val="1"/>
                <c:pt idx="0">
                  <c:v>0 -----</c:v>
                </c:pt>
              </c:strCache>
            </c:strRef>
          </c:tx>
          <c:xVal>
            <c:numRef>
              <c:f>'Selectivity Figs'!$A$452:$A$488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'Selectivity Figs'!$B$452:$B$488</c:f>
              <c:numCache>
                <c:formatCode>General</c:formatCode>
                <c:ptCount val="37"/>
                <c:pt idx="0">
                  <c:v>9.0999999999999998E-2</c:v>
                </c:pt>
                <c:pt idx="1">
                  <c:v>9.0999999999999998E-2</c:v>
                </c:pt>
                <c:pt idx="2">
                  <c:v>9.0999999999999998E-2</c:v>
                </c:pt>
                <c:pt idx="3">
                  <c:v>9.0999999999999998E-2</c:v>
                </c:pt>
                <c:pt idx="4">
                  <c:v>9.0999999999999998E-2</c:v>
                </c:pt>
                <c:pt idx="5">
                  <c:v>9.0999999999999998E-2</c:v>
                </c:pt>
                <c:pt idx="6">
                  <c:v>9.0999999999999998E-2</c:v>
                </c:pt>
                <c:pt idx="7">
                  <c:v>9.0999999999999998E-2</c:v>
                </c:pt>
                <c:pt idx="8">
                  <c:v>9.0999999999999998E-2</c:v>
                </c:pt>
                <c:pt idx="9">
                  <c:v>9.0999999999999998E-2</c:v>
                </c:pt>
                <c:pt idx="10">
                  <c:v>9.0999999999999998E-2</c:v>
                </c:pt>
                <c:pt idx="11">
                  <c:v>9.0999999999999998E-2</c:v>
                </c:pt>
                <c:pt idx="12">
                  <c:v>9.0999999999999998E-2</c:v>
                </c:pt>
                <c:pt idx="13">
                  <c:v>9.0999999999999998E-2</c:v>
                </c:pt>
                <c:pt idx="14">
                  <c:v>9.0999999999999998E-2</c:v>
                </c:pt>
                <c:pt idx="15">
                  <c:v>9.0999999999999998E-2</c:v>
                </c:pt>
                <c:pt idx="16">
                  <c:v>9.0999999999999998E-2</c:v>
                </c:pt>
                <c:pt idx="17">
                  <c:v>9.0999999999999998E-2</c:v>
                </c:pt>
                <c:pt idx="18">
                  <c:v>9.0999999999999998E-2</c:v>
                </c:pt>
                <c:pt idx="19">
                  <c:v>9.0999999999999998E-2</c:v>
                </c:pt>
                <c:pt idx="20">
                  <c:v>9.0999999999999998E-2</c:v>
                </c:pt>
                <c:pt idx="21">
                  <c:v>9.0999999999999998E-2</c:v>
                </c:pt>
                <c:pt idx="22">
                  <c:v>9.0999999999999998E-2</c:v>
                </c:pt>
                <c:pt idx="23">
                  <c:v>9.0999999999999998E-2</c:v>
                </c:pt>
                <c:pt idx="24">
                  <c:v>9.0999999999999998E-2</c:v>
                </c:pt>
                <c:pt idx="25">
                  <c:v>9.0999999999999998E-2</c:v>
                </c:pt>
                <c:pt idx="26">
                  <c:v>9.0999999999999998E-2</c:v>
                </c:pt>
                <c:pt idx="27">
                  <c:v>9.0999999999999998E-2</c:v>
                </c:pt>
                <c:pt idx="28">
                  <c:v>9.0999999999999998E-2</c:v>
                </c:pt>
                <c:pt idx="29">
                  <c:v>9.0999999999999998E-2</c:v>
                </c:pt>
                <c:pt idx="30">
                  <c:v>9.0999999999999998E-2</c:v>
                </c:pt>
                <c:pt idx="31">
                  <c:v>9.0999999999999998E-2</c:v>
                </c:pt>
                <c:pt idx="32">
                  <c:v>9.0999999999999998E-2</c:v>
                </c:pt>
                <c:pt idx="33">
                  <c:v>9.0999999999999998E-2</c:v>
                </c:pt>
                <c:pt idx="34">
                  <c:v>9.0999999999999998E-2</c:v>
                </c:pt>
                <c:pt idx="35">
                  <c:v>9.0999999999999998E-2</c:v>
                </c:pt>
                <c:pt idx="36">
                  <c:v>9.0999999999999998E-2</c:v>
                </c:pt>
              </c:numCache>
            </c:numRef>
          </c:yVal>
        </c:ser>
        <c:ser>
          <c:idx val="1"/>
          <c:order val="1"/>
          <c:tx>
            <c:strRef>
              <c:f>'Selectivity Figs'!$C$450:$C$451</c:f>
              <c:strCache>
                <c:ptCount val="1"/>
                <c:pt idx="0">
                  <c:v>1 -----</c:v>
                </c:pt>
              </c:strCache>
            </c:strRef>
          </c:tx>
          <c:xVal>
            <c:numRef>
              <c:f>'Selectivity Figs'!$A$452:$A$488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'Selectivity Figs'!$C$452:$C$488</c:f>
              <c:numCache>
                <c:formatCode>General</c:formatCode>
                <c:ptCount val="37"/>
                <c:pt idx="0">
                  <c:v>0.17899999999999999</c:v>
                </c:pt>
                <c:pt idx="1">
                  <c:v>0.17899999999999999</c:v>
                </c:pt>
                <c:pt idx="2">
                  <c:v>0.17899999999999999</c:v>
                </c:pt>
                <c:pt idx="3">
                  <c:v>0.17899999999999999</c:v>
                </c:pt>
                <c:pt idx="4">
                  <c:v>0.17899999999999999</c:v>
                </c:pt>
                <c:pt idx="5">
                  <c:v>0.17899999999999999</c:v>
                </c:pt>
                <c:pt idx="6">
                  <c:v>0.17899999999999999</c:v>
                </c:pt>
                <c:pt idx="7">
                  <c:v>0.17899999999999999</c:v>
                </c:pt>
                <c:pt idx="8">
                  <c:v>0.17899999999999999</c:v>
                </c:pt>
                <c:pt idx="9">
                  <c:v>0.17899999999999999</c:v>
                </c:pt>
                <c:pt idx="10">
                  <c:v>0.17899999999999999</c:v>
                </c:pt>
                <c:pt idx="11">
                  <c:v>0.17899999999999999</c:v>
                </c:pt>
                <c:pt idx="12">
                  <c:v>0.17899999999999999</c:v>
                </c:pt>
                <c:pt idx="13">
                  <c:v>0.17899999999999999</c:v>
                </c:pt>
                <c:pt idx="14">
                  <c:v>0.17899999999999999</c:v>
                </c:pt>
                <c:pt idx="15">
                  <c:v>0.17899999999999999</c:v>
                </c:pt>
                <c:pt idx="16">
                  <c:v>0.17899999999999999</c:v>
                </c:pt>
                <c:pt idx="17">
                  <c:v>0.17899999999999999</c:v>
                </c:pt>
                <c:pt idx="18">
                  <c:v>0.17899999999999999</c:v>
                </c:pt>
                <c:pt idx="19">
                  <c:v>0.17899999999999999</c:v>
                </c:pt>
                <c:pt idx="20">
                  <c:v>0.17899999999999999</c:v>
                </c:pt>
                <c:pt idx="21">
                  <c:v>0.17899999999999999</c:v>
                </c:pt>
                <c:pt idx="22">
                  <c:v>0.17899999999999999</c:v>
                </c:pt>
                <c:pt idx="23">
                  <c:v>0.17899999999999999</c:v>
                </c:pt>
                <c:pt idx="24">
                  <c:v>0.17899999999999999</c:v>
                </c:pt>
                <c:pt idx="25">
                  <c:v>0.17899999999999999</c:v>
                </c:pt>
                <c:pt idx="26">
                  <c:v>0.17899999999999999</c:v>
                </c:pt>
                <c:pt idx="27">
                  <c:v>0.17899999999999999</c:v>
                </c:pt>
                <c:pt idx="28">
                  <c:v>0.17899999999999999</c:v>
                </c:pt>
                <c:pt idx="29">
                  <c:v>0.17899999999999999</c:v>
                </c:pt>
                <c:pt idx="30">
                  <c:v>0.17899999999999999</c:v>
                </c:pt>
                <c:pt idx="31">
                  <c:v>0.17899999999999999</c:v>
                </c:pt>
                <c:pt idx="32">
                  <c:v>0.17899999999999999</c:v>
                </c:pt>
                <c:pt idx="33">
                  <c:v>0.17899999999999999</c:v>
                </c:pt>
                <c:pt idx="34">
                  <c:v>0.17899999999999999</c:v>
                </c:pt>
                <c:pt idx="35">
                  <c:v>0.17899999999999999</c:v>
                </c:pt>
                <c:pt idx="36">
                  <c:v>0.17899999999999999</c:v>
                </c:pt>
              </c:numCache>
            </c:numRef>
          </c:yVal>
        </c:ser>
        <c:ser>
          <c:idx val="2"/>
          <c:order val="2"/>
          <c:tx>
            <c:strRef>
              <c:f>'Selectivity Figs'!$D$450:$D$451</c:f>
              <c:strCache>
                <c:ptCount val="1"/>
                <c:pt idx="0">
                  <c:v>2 -----</c:v>
                </c:pt>
              </c:strCache>
            </c:strRef>
          </c:tx>
          <c:xVal>
            <c:numRef>
              <c:f>'Selectivity Figs'!$A$452:$A$488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'Selectivity Figs'!$D$452:$D$488</c:f>
              <c:numCache>
                <c:formatCode>General</c:formatCode>
                <c:ptCount val="37"/>
                <c:pt idx="0">
                  <c:v>0.13800000000000001</c:v>
                </c:pt>
                <c:pt idx="1">
                  <c:v>0.13800000000000001</c:v>
                </c:pt>
                <c:pt idx="2">
                  <c:v>0.13800000000000001</c:v>
                </c:pt>
                <c:pt idx="3">
                  <c:v>0.13800000000000001</c:v>
                </c:pt>
                <c:pt idx="4">
                  <c:v>0.13800000000000001</c:v>
                </c:pt>
                <c:pt idx="5">
                  <c:v>0.13800000000000001</c:v>
                </c:pt>
                <c:pt idx="6">
                  <c:v>0.13800000000000001</c:v>
                </c:pt>
                <c:pt idx="7">
                  <c:v>0.13800000000000001</c:v>
                </c:pt>
                <c:pt idx="8">
                  <c:v>0.13800000000000001</c:v>
                </c:pt>
                <c:pt idx="9">
                  <c:v>0.13800000000000001</c:v>
                </c:pt>
                <c:pt idx="10">
                  <c:v>0.13800000000000001</c:v>
                </c:pt>
                <c:pt idx="11">
                  <c:v>0.13800000000000001</c:v>
                </c:pt>
                <c:pt idx="12">
                  <c:v>0.13800000000000001</c:v>
                </c:pt>
                <c:pt idx="13">
                  <c:v>0.13800000000000001</c:v>
                </c:pt>
                <c:pt idx="14">
                  <c:v>0.13800000000000001</c:v>
                </c:pt>
                <c:pt idx="15">
                  <c:v>0.13800000000000001</c:v>
                </c:pt>
                <c:pt idx="16">
                  <c:v>0.13800000000000001</c:v>
                </c:pt>
                <c:pt idx="17">
                  <c:v>0.13800000000000001</c:v>
                </c:pt>
                <c:pt idx="18">
                  <c:v>0.13800000000000001</c:v>
                </c:pt>
                <c:pt idx="19">
                  <c:v>0.13800000000000001</c:v>
                </c:pt>
                <c:pt idx="20">
                  <c:v>0.13800000000000001</c:v>
                </c:pt>
                <c:pt idx="21">
                  <c:v>0.13800000000000001</c:v>
                </c:pt>
                <c:pt idx="22">
                  <c:v>0.13800000000000001</c:v>
                </c:pt>
                <c:pt idx="23">
                  <c:v>0.13800000000000001</c:v>
                </c:pt>
                <c:pt idx="24">
                  <c:v>0.13800000000000001</c:v>
                </c:pt>
                <c:pt idx="25">
                  <c:v>0.13800000000000001</c:v>
                </c:pt>
                <c:pt idx="26">
                  <c:v>0.13800000000000001</c:v>
                </c:pt>
                <c:pt idx="27">
                  <c:v>0.13800000000000001</c:v>
                </c:pt>
                <c:pt idx="28">
                  <c:v>0.13800000000000001</c:v>
                </c:pt>
                <c:pt idx="29">
                  <c:v>0.13800000000000001</c:v>
                </c:pt>
                <c:pt idx="30">
                  <c:v>0.13800000000000001</c:v>
                </c:pt>
                <c:pt idx="31">
                  <c:v>0.13800000000000001</c:v>
                </c:pt>
                <c:pt idx="32">
                  <c:v>0.13800000000000001</c:v>
                </c:pt>
                <c:pt idx="33">
                  <c:v>0.13800000000000001</c:v>
                </c:pt>
                <c:pt idx="34">
                  <c:v>0.13800000000000001</c:v>
                </c:pt>
                <c:pt idx="35">
                  <c:v>0.13800000000000001</c:v>
                </c:pt>
                <c:pt idx="36">
                  <c:v>0.13800000000000001</c:v>
                </c:pt>
              </c:numCache>
            </c:numRef>
          </c:yVal>
        </c:ser>
        <c:ser>
          <c:idx val="3"/>
          <c:order val="3"/>
          <c:tx>
            <c:strRef>
              <c:f>'Selectivity Figs'!$E$450:$E$451</c:f>
              <c:strCache>
                <c:ptCount val="1"/>
                <c:pt idx="0">
                  <c:v>3 -----</c:v>
                </c:pt>
              </c:strCache>
            </c:strRef>
          </c:tx>
          <c:xVal>
            <c:numRef>
              <c:f>'Selectivity Figs'!$A$452:$A$488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'Selectivity Figs'!$E$452:$E$488</c:f>
              <c:numCache>
                <c:formatCode>General</c:formatCode>
                <c:ptCount val="37"/>
                <c:pt idx="0">
                  <c:v>0.36099999999999999</c:v>
                </c:pt>
                <c:pt idx="1">
                  <c:v>0.36099999999999999</c:v>
                </c:pt>
                <c:pt idx="2">
                  <c:v>0.36099999999999999</c:v>
                </c:pt>
                <c:pt idx="3">
                  <c:v>0.36099999999999999</c:v>
                </c:pt>
                <c:pt idx="4">
                  <c:v>0.36099999999999999</c:v>
                </c:pt>
                <c:pt idx="5">
                  <c:v>0.36099999999999999</c:v>
                </c:pt>
                <c:pt idx="6">
                  <c:v>0.36099999999999999</c:v>
                </c:pt>
                <c:pt idx="7">
                  <c:v>0.36099999999999999</c:v>
                </c:pt>
                <c:pt idx="8">
                  <c:v>0.36099999999999999</c:v>
                </c:pt>
                <c:pt idx="9">
                  <c:v>0.36099999999999999</c:v>
                </c:pt>
                <c:pt idx="10">
                  <c:v>0.36099999999999999</c:v>
                </c:pt>
                <c:pt idx="11">
                  <c:v>0.36099999999999999</c:v>
                </c:pt>
                <c:pt idx="12">
                  <c:v>0.36099999999999999</c:v>
                </c:pt>
                <c:pt idx="13">
                  <c:v>0.36099999999999999</c:v>
                </c:pt>
                <c:pt idx="14">
                  <c:v>0.36099999999999999</c:v>
                </c:pt>
                <c:pt idx="15">
                  <c:v>0.36099999999999999</c:v>
                </c:pt>
                <c:pt idx="16">
                  <c:v>0.36099999999999999</c:v>
                </c:pt>
                <c:pt idx="17">
                  <c:v>0.36099999999999999</c:v>
                </c:pt>
                <c:pt idx="18">
                  <c:v>0.36099999999999999</c:v>
                </c:pt>
                <c:pt idx="19">
                  <c:v>0.36099999999999999</c:v>
                </c:pt>
                <c:pt idx="20">
                  <c:v>0.36099999999999999</c:v>
                </c:pt>
                <c:pt idx="21">
                  <c:v>0.36099999999999999</c:v>
                </c:pt>
                <c:pt idx="22">
                  <c:v>0.36099999999999999</c:v>
                </c:pt>
                <c:pt idx="23">
                  <c:v>0.36099999999999999</c:v>
                </c:pt>
                <c:pt idx="24">
                  <c:v>0.36099999999999999</c:v>
                </c:pt>
                <c:pt idx="25">
                  <c:v>0.36099999999999999</c:v>
                </c:pt>
                <c:pt idx="26">
                  <c:v>0.36099999999999999</c:v>
                </c:pt>
                <c:pt idx="27">
                  <c:v>0.36099999999999999</c:v>
                </c:pt>
                <c:pt idx="28">
                  <c:v>0.36099999999999999</c:v>
                </c:pt>
                <c:pt idx="29">
                  <c:v>0.36099999999999999</c:v>
                </c:pt>
                <c:pt idx="30">
                  <c:v>0.36099999999999999</c:v>
                </c:pt>
                <c:pt idx="31">
                  <c:v>0.36099999999999999</c:v>
                </c:pt>
                <c:pt idx="32">
                  <c:v>0.36099999999999999</c:v>
                </c:pt>
                <c:pt idx="33">
                  <c:v>0.36099999999999999</c:v>
                </c:pt>
                <c:pt idx="34">
                  <c:v>0.36099999999999999</c:v>
                </c:pt>
                <c:pt idx="35">
                  <c:v>0.36099999999999999</c:v>
                </c:pt>
                <c:pt idx="36">
                  <c:v>0.36099999999999999</c:v>
                </c:pt>
              </c:numCache>
            </c:numRef>
          </c:yVal>
        </c:ser>
        <c:ser>
          <c:idx val="4"/>
          <c:order val="4"/>
          <c:tx>
            <c:strRef>
              <c:f>'Selectivity Figs'!$F$450:$F$451</c:f>
              <c:strCache>
                <c:ptCount val="1"/>
                <c:pt idx="0">
                  <c:v>4 -----</c:v>
                </c:pt>
              </c:strCache>
            </c:strRef>
          </c:tx>
          <c:xVal>
            <c:numRef>
              <c:f>'Selectivity Figs'!$A$452:$A$488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'Selectivity Figs'!$F$452:$F$488</c:f>
              <c:numCache>
                <c:formatCode>General</c:formatCode>
                <c:ptCount val="3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</c:numCache>
            </c:numRef>
          </c:yVal>
        </c:ser>
        <c:ser>
          <c:idx val="5"/>
          <c:order val="5"/>
          <c:tx>
            <c:strRef>
              <c:f>'Selectivity Figs'!$G$450:$G$451</c:f>
              <c:strCache>
                <c:ptCount val="1"/>
                <c:pt idx="0">
                  <c:v>5 -----</c:v>
                </c:pt>
              </c:strCache>
            </c:strRef>
          </c:tx>
          <c:xVal>
            <c:numRef>
              <c:f>'Selectivity Figs'!$A$452:$A$488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'Selectivity Figs'!$G$452:$G$488</c:f>
              <c:numCache>
                <c:formatCode>General</c:formatCode>
                <c:ptCount val="37"/>
                <c:pt idx="0">
                  <c:v>0.215</c:v>
                </c:pt>
                <c:pt idx="1">
                  <c:v>0.215</c:v>
                </c:pt>
                <c:pt idx="2">
                  <c:v>0.215</c:v>
                </c:pt>
                <c:pt idx="3">
                  <c:v>0.215</c:v>
                </c:pt>
                <c:pt idx="4">
                  <c:v>0.215</c:v>
                </c:pt>
                <c:pt idx="5">
                  <c:v>0.215</c:v>
                </c:pt>
                <c:pt idx="6">
                  <c:v>0.215</c:v>
                </c:pt>
                <c:pt idx="7">
                  <c:v>0.215</c:v>
                </c:pt>
                <c:pt idx="8">
                  <c:v>0.215</c:v>
                </c:pt>
                <c:pt idx="9">
                  <c:v>0.215</c:v>
                </c:pt>
                <c:pt idx="10">
                  <c:v>0.215</c:v>
                </c:pt>
                <c:pt idx="11">
                  <c:v>0.215</c:v>
                </c:pt>
                <c:pt idx="12">
                  <c:v>0.215</c:v>
                </c:pt>
                <c:pt idx="13">
                  <c:v>0.215</c:v>
                </c:pt>
                <c:pt idx="14">
                  <c:v>0.215</c:v>
                </c:pt>
                <c:pt idx="15">
                  <c:v>0.215</c:v>
                </c:pt>
                <c:pt idx="16">
                  <c:v>0.215</c:v>
                </c:pt>
                <c:pt idx="17">
                  <c:v>0.215</c:v>
                </c:pt>
                <c:pt idx="18">
                  <c:v>0.215</c:v>
                </c:pt>
                <c:pt idx="19">
                  <c:v>0.215</c:v>
                </c:pt>
                <c:pt idx="20">
                  <c:v>0.215</c:v>
                </c:pt>
                <c:pt idx="21">
                  <c:v>0.215</c:v>
                </c:pt>
                <c:pt idx="22">
                  <c:v>0.215</c:v>
                </c:pt>
                <c:pt idx="23">
                  <c:v>0.215</c:v>
                </c:pt>
                <c:pt idx="24">
                  <c:v>0.215</c:v>
                </c:pt>
                <c:pt idx="25">
                  <c:v>0.215</c:v>
                </c:pt>
                <c:pt idx="26">
                  <c:v>0.215</c:v>
                </c:pt>
                <c:pt idx="27">
                  <c:v>0.215</c:v>
                </c:pt>
                <c:pt idx="28">
                  <c:v>0.215</c:v>
                </c:pt>
                <c:pt idx="29">
                  <c:v>0.215</c:v>
                </c:pt>
                <c:pt idx="30">
                  <c:v>0.215</c:v>
                </c:pt>
                <c:pt idx="31">
                  <c:v>0.215</c:v>
                </c:pt>
                <c:pt idx="32">
                  <c:v>0.215</c:v>
                </c:pt>
                <c:pt idx="33">
                  <c:v>0.215</c:v>
                </c:pt>
                <c:pt idx="34">
                  <c:v>0.215</c:v>
                </c:pt>
                <c:pt idx="35">
                  <c:v>0.215</c:v>
                </c:pt>
                <c:pt idx="36">
                  <c:v>0.215</c:v>
                </c:pt>
              </c:numCache>
            </c:numRef>
          </c:yVal>
        </c:ser>
        <c:axId val="220693248"/>
        <c:axId val="220694784"/>
      </c:scatterChart>
      <c:valAx>
        <c:axId val="220693248"/>
        <c:scaling>
          <c:orientation val="minMax"/>
        </c:scaling>
        <c:axPos val="b"/>
        <c:numFmt formatCode="General" sourceLinked="1"/>
        <c:tickLblPos val="nextTo"/>
        <c:crossAx val="220694784"/>
        <c:crosses val="autoZero"/>
        <c:crossBetween val="midCat"/>
      </c:valAx>
      <c:valAx>
        <c:axId val="220694784"/>
        <c:scaling>
          <c:orientation val="minMax"/>
        </c:scaling>
        <c:axPos val="l"/>
        <c:majorGridlines/>
        <c:numFmt formatCode="General" sourceLinked="1"/>
        <c:tickLblPos val="nextTo"/>
        <c:crossAx val="22069324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 Figs'!$A$949</c:f>
          <c:strCache>
            <c:ptCount val="1"/>
            <c:pt idx="0">
              <c:v>NOT-USED</c:v>
            </c:pt>
          </c:strCache>
        </c:strRef>
      </c:tx>
    </c:title>
    <c:plotArea>
      <c:layout/>
      <c:scatterChart>
        <c:scatterStyle val="lineMarker"/>
        <c:ser>
          <c:idx val="0"/>
          <c:order val="0"/>
          <c:tx>
            <c:strRef>
              <c:f>'Selectivity Figs'!$B$951:$B$952</c:f>
              <c:strCache>
                <c:ptCount val="1"/>
              </c:strCache>
            </c:strRef>
          </c:tx>
          <c:xVal>
            <c:numRef>
              <c:f>'Selectivity Figs'!$A$953:$A$963</c:f>
              <c:numCache>
                <c:formatCode>General</c:formatCode>
                <c:ptCount val="11"/>
              </c:numCache>
            </c:numRef>
          </c:xVal>
          <c:yVal>
            <c:numRef>
              <c:f>'Selectivity Figs'!$B$953:$B$963</c:f>
              <c:numCache>
                <c:formatCode>General</c:formatCode>
                <c:ptCount val="11"/>
              </c:numCache>
            </c:numRef>
          </c:yVal>
        </c:ser>
        <c:ser>
          <c:idx val="1"/>
          <c:order val="1"/>
          <c:tx>
            <c:strRef>
              <c:f>'Selectivity Figs'!$C$951:$C$952</c:f>
              <c:strCache>
                <c:ptCount val="1"/>
              </c:strCache>
            </c:strRef>
          </c:tx>
          <c:xVal>
            <c:numRef>
              <c:f>'Selectivity Figs'!$A$953:$A$963</c:f>
              <c:numCache>
                <c:formatCode>General</c:formatCode>
                <c:ptCount val="11"/>
              </c:numCache>
            </c:numRef>
          </c:xVal>
          <c:yVal>
            <c:numRef>
              <c:f>'Selectivity Figs'!$C$953:$C$963</c:f>
              <c:numCache>
                <c:formatCode>General</c:formatCode>
                <c:ptCount val="11"/>
              </c:numCache>
            </c:numRef>
          </c:yVal>
        </c:ser>
        <c:ser>
          <c:idx val="2"/>
          <c:order val="2"/>
          <c:tx>
            <c:strRef>
              <c:f>'Selectivity Figs'!$D$951:$D$952</c:f>
              <c:strCache>
                <c:ptCount val="1"/>
              </c:strCache>
            </c:strRef>
          </c:tx>
          <c:xVal>
            <c:numRef>
              <c:f>'Selectivity Figs'!$A$953:$A$963</c:f>
              <c:numCache>
                <c:formatCode>General</c:formatCode>
                <c:ptCount val="11"/>
              </c:numCache>
            </c:numRef>
          </c:xVal>
          <c:yVal>
            <c:numRef>
              <c:f>'Selectivity Figs'!$D$953:$D$963</c:f>
              <c:numCache>
                <c:formatCode>General</c:formatCode>
                <c:ptCount val="11"/>
              </c:numCache>
            </c:numRef>
          </c:yVal>
        </c:ser>
        <c:ser>
          <c:idx val="3"/>
          <c:order val="3"/>
          <c:tx>
            <c:strRef>
              <c:f>'Selectivity Figs'!$E$951:$E$952</c:f>
              <c:strCache>
                <c:ptCount val="1"/>
              </c:strCache>
            </c:strRef>
          </c:tx>
          <c:xVal>
            <c:numRef>
              <c:f>'Selectivity Figs'!$A$953:$A$963</c:f>
              <c:numCache>
                <c:formatCode>General</c:formatCode>
                <c:ptCount val="11"/>
              </c:numCache>
            </c:numRef>
          </c:xVal>
          <c:yVal>
            <c:numRef>
              <c:f>'Selectivity Figs'!$E$953:$E$963</c:f>
              <c:numCache>
                <c:formatCode>General</c:formatCode>
                <c:ptCount val="11"/>
              </c:numCache>
            </c:numRef>
          </c:yVal>
        </c:ser>
        <c:ser>
          <c:idx val="4"/>
          <c:order val="4"/>
          <c:tx>
            <c:strRef>
              <c:f>'Selectivity Figs'!$F$951:$F$952</c:f>
              <c:strCache>
                <c:ptCount val="1"/>
              </c:strCache>
            </c:strRef>
          </c:tx>
          <c:xVal>
            <c:numRef>
              <c:f>'Selectivity Figs'!$A$953:$A$963</c:f>
              <c:numCache>
                <c:formatCode>General</c:formatCode>
                <c:ptCount val="11"/>
              </c:numCache>
            </c:numRef>
          </c:xVal>
          <c:yVal>
            <c:numRef>
              <c:f>'Selectivity Figs'!$F$953:$F$963</c:f>
              <c:numCache>
                <c:formatCode>General</c:formatCode>
                <c:ptCount val="11"/>
              </c:numCache>
            </c:numRef>
          </c:yVal>
        </c:ser>
        <c:ser>
          <c:idx val="5"/>
          <c:order val="5"/>
          <c:tx>
            <c:strRef>
              <c:f>'Selectivity Figs'!$G$951:$G$952</c:f>
              <c:strCache>
                <c:ptCount val="1"/>
              </c:strCache>
            </c:strRef>
          </c:tx>
          <c:xVal>
            <c:numRef>
              <c:f>'Selectivity Figs'!$A$953:$A$963</c:f>
              <c:numCache>
                <c:formatCode>General</c:formatCode>
                <c:ptCount val="11"/>
              </c:numCache>
            </c:numRef>
          </c:xVal>
          <c:yVal>
            <c:numRef>
              <c:f>'Selectivity Figs'!$G$953:$G$963</c:f>
              <c:numCache>
                <c:formatCode>General</c:formatCode>
                <c:ptCount val="11"/>
              </c:numCache>
            </c:numRef>
          </c:yVal>
        </c:ser>
        <c:ser>
          <c:idx val="6"/>
          <c:order val="6"/>
          <c:tx>
            <c:strRef>
              <c:f>'Selectivity Figs'!$H$951:$H$952</c:f>
              <c:strCache>
                <c:ptCount val="1"/>
              </c:strCache>
            </c:strRef>
          </c:tx>
          <c:xVal>
            <c:numRef>
              <c:f>'Selectivity Figs'!$A$953:$A$963</c:f>
              <c:numCache>
                <c:formatCode>General</c:formatCode>
                <c:ptCount val="11"/>
              </c:numCache>
            </c:numRef>
          </c:xVal>
          <c:yVal>
            <c:numRef>
              <c:f>'Selectivity Figs'!$H$953:$H$963</c:f>
              <c:numCache>
                <c:formatCode>General</c:formatCode>
                <c:ptCount val="11"/>
              </c:numCache>
            </c:numRef>
          </c:yVal>
        </c:ser>
        <c:ser>
          <c:idx val="7"/>
          <c:order val="7"/>
          <c:tx>
            <c:strRef>
              <c:f>'Selectivity Figs'!$I$951:$I$952</c:f>
              <c:strCache>
                <c:ptCount val="1"/>
              </c:strCache>
            </c:strRef>
          </c:tx>
          <c:xVal>
            <c:numRef>
              <c:f>'Selectivity Figs'!$A$953:$A$963</c:f>
              <c:numCache>
                <c:formatCode>General</c:formatCode>
                <c:ptCount val="11"/>
              </c:numCache>
            </c:numRef>
          </c:xVal>
          <c:yVal>
            <c:numRef>
              <c:f>'Selectivity Figs'!$I$953:$I$963</c:f>
              <c:numCache>
                <c:formatCode>General</c:formatCode>
                <c:ptCount val="11"/>
              </c:numCache>
            </c:numRef>
          </c:yVal>
        </c:ser>
        <c:ser>
          <c:idx val="8"/>
          <c:order val="8"/>
          <c:tx>
            <c:strRef>
              <c:f>'Selectivity Figs'!$J$951:$J$952</c:f>
              <c:strCache>
                <c:ptCount val="1"/>
              </c:strCache>
            </c:strRef>
          </c:tx>
          <c:xVal>
            <c:numRef>
              <c:f>'Selectivity Figs'!$A$953:$A$963</c:f>
              <c:numCache>
                <c:formatCode>General</c:formatCode>
                <c:ptCount val="11"/>
              </c:numCache>
            </c:numRef>
          </c:xVal>
          <c:yVal>
            <c:numRef>
              <c:f>'Selectivity Figs'!$J$953:$J$963</c:f>
              <c:numCache>
                <c:formatCode>General</c:formatCode>
                <c:ptCount val="11"/>
              </c:numCache>
            </c:numRef>
          </c:yVal>
        </c:ser>
        <c:axId val="220758784"/>
        <c:axId val="220760320"/>
      </c:scatterChart>
      <c:valAx>
        <c:axId val="220758784"/>
        <c:scaling>
          <c:orientation val="minMax"/>
        </c:scaling>
        <c:axPos val="b"/>
        <c:numFmt formatCode="General" sourceLinked="1"/>
        <c:tickLblPos val="nextTo"/>
        <c:crossAx val="220760320"/>
        <c:crosses val="autoZero"/>
        <c:crossBetween val="midCat"/>
      </c:valAx>
      <c:valAx>
        <c:axId val="220760320"/>
        <c:scaling>
          <c:orientation val="minMax"/>
        </c:scaling>
        <c:axPos val="l"/>
        <c:majorGridlines/>
        <c:numFmt formatCode="General" sourceLinked="1"/>
        <c:tickLblPos val="nextTo"/>
        <c:crossAx val="22075878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 Figs'!$A$899</c:f>
          <c:strCache>
            <c:ptCount val="1"/>
            <c:pt idx="0">
              <c:v>NOT-USED</c:v>
            </c:pt>
          </c:strCache>
        </c:strRef>
      </c:tx>
    </c:title>
    <c:plotArea>
      <c:layout/>
      <c:scatterChart>
        <c:scatterStyle val="lineMarker"/>
        <c:ser>
          <c:idx val="0"/>
          <c:order val="0"/>
          <c:tx>
            <c:strRef>
              <c:f>'Selectivity Figs'!$B$901:$B$902</c:f>
              <c:strCache>
                <c:ptCount val="1"/>
              </c:strCache>
            </c:strRef>
          </c:tx>
          <c:xVal>
            <c:numRef>
              <c:f>'Selectivity Figs'!$A$903:$A$910</c:f>
              <c:numCache>
                <c:formatCode>General</c:formatCode>
                <c:ptCount val="8"/>
              </c:numCache>
            </c:numRef>
          </c:xVal>
          <c:yVal>
            <c:numRef>
              <c:f>'Selectivity Figs'!$B$903:$B$910</c:f>
              <c:numCache>
                <c:formatCode>General</c:formatCode>
                <c:ptCount val="8"/>
              </c:numCache>
            </c:numRef>
          </c:yVal>
        </c:ser>
        <c:ser>
          <c:idx val="1"/>
          <c:order val="1"/>
          <c:tx>
            <c:strRef>
              <c:f>'Selectivity Figs'!$C$901:$C$902</c:f>
              <c:strCache>
                <c:ptCount val="1"/>
              </c:strCache>
            </c:strRef>
          </c:tx>
          <c:xVal>
            <c:numRef>
              <c:f>'Selectivity Figs'!$A$903:$A$910</c:f>
              <c:numCache>
                <c:formatCode>General</c:formatCode>
                <c:ptCount val="8"/>
              </c:numCache>
            </c:numRef>
          </c:xVal>
          <c:yVal>
            <c:numRef>
              <c:f>'Selectivity Figs'!$C$903:$C$910</c:f>
              <c:numCache>
                <c:formatCode>General</c:formatCode>
                <c:ptCount val="8"/>
              </c:numCache>
            </c:numRef>
          </c:yVal>
        </c:ser>
        <c:ser>
          <c:idx val="2"/>
          <c:order val="2"/>
          <c:tx>
            <c:strRef>
              <c:f>'Selectivity Figs'!$D$901:$D$902</c:f>
              <c:strCache>
                <c:ptCount val="1"/>
              </c:strCache>
            </c:strRef>
          </c:tx>
          <c:xVal>
            <c:numRef>
              <c:f>'Selectivity Figs'!$A$903:$A$910</c:f>
              <c:numCache>
                <c:formatCode>General</c:formatCode>
                <c:ptCount val="8"/>
              </c:numCache>
            </c:numRef>
          </c:xVal>
          <c:yVal>
            <c:numRef>
              <c:f>'Selectivity Figs'!$D$903:$D$910</c:f>
              <c:numCache>
                <c:formatCode>General</c:formatCode>
                <c:ptCount val="8"/>
              </c:numCache>
            </c:numRef>
          </c:yVal>
        </c:ser>
        <c:ser>
          <c:idx val="3"/>
          <c:order val="3"/>
          <c:tx>
            <c:strRef>
              <c:f>'Selectivity Figs'!$E$901:$E$902</c:f>
              <c:strCache>
                <c:ptCount val="1"/>
              </c:strCache>
            </c:strRef>
          </c:tx>
          <c:xVal>
            <c:numRef>
              <c:f>'Selectivity Figs'!$A$903:$A$910</c:f>
              <c:numCache>
                <c:formatCode>General</c:formatCode>
                <c:ptCount val="8"/>
              </c:numCache>
            </c:numRef>
          </c:xVal>
          <c:yVal>
            <c:numRef>
              <c:f>'Selectivity Figs'!$E$903:$E$910</c:f>
              <c:numCache>
                <c:formatCode>General</c:formatCode>
                <c:ptCount val="8"/>
              </c:numCache>
            </c:numRef>
          </c:yVal>
        </c:ser>
        <c:ser>
          <c:idx val="4"/>
          <c:order val="4"/>
          <c:tx>
            <c:strRef>
              <c:f>'Selectivity Figs'!$F$901:$F$902</c:f>
              <c:strCache>
                <c:ptCount val="1"/>
              </c:strCache>
            </c:strRef>
          </c:tx>
          <c:xVal>
            <c:numRef>
              <c:f>'Selectivity Figs'!$A$903:$A$910</c:f>
              <c:numCache>
                <c:formatCode>General</c:formatCode>
                <c:ptCount val="8"/>
              </c:numCache>
            </c:numRef>
          </c:xVal>
          <c:yVal>
            <c:numRef>
              <c:f>'Selectivity Figs'!$F$903:$F$910</c:f>
              <c:numCache>
                <c:formatCode>General</c:formatCode>
                <c:ptCount val="8"/>
              </c:numCache>
            </c:numRef>
          </c:yVal>
        </c:ser>
        <c:ser>
          <c:idx val="5"/>
          <c:order val="5"/>
          <c:tx>
            <c:strRef>
              <c:f>'Selectivity Figs'!$G$901:$G$902</c:f>
              <c:strCache>
                <c:ptCount val="1"/>
              </c:strCache>
            </c:strRef>
          </c:tx>
          <c:xVal>
            <c:numRef>
              <c:f>'Selectivity Figs'!$A$903:$A$910</c:f>
              <c:numCache>
                <c:formatCode>General</c:formatCode>
                <c:ptCount val="8"/>
              </c:numCache>
            </c:numRef>
          </c:xVal>
          <c:yVal>
            <c:numRef>
              <c:f>'Selectivity Figs'!$G$903:$G$910</c:f>
              <c:numCache>
                <c:formatCode>General</c:formatCode>
                <c:ptCount val="8"/>
              </c:numCache>
            </c:numRef>
          </c:yVal>
        </c:ser>
        <c:ser>
          <c:idx val="6"/>
          <c:order val="6"/>
          <c:tx>
            <c:strRef>
              <c:f>'Selectivity Figs'!$H$901:$H$902</c:f>
              <c:strCache>
                <c:ptCount val="1"/>
              </c:strCache>
            </c:strRef>
          </c:tx>
          <c:xVal>
            <c:numRef>
              <c:f>'Selectivity Figs'!$A$903:$A$910</c:f>
              <c:numCache>
                <c:formatCode>General</c:formatCode>
                <c:ptCount val="8"/>
              </c:numCache>
            </c:numRef>
          </c:xVal>
          <c:yVal>
            <c:numRef>
              <c:f>'Selectivity Figs'!$H$903:$H$910</c:f>
              <c:numCache>
                <c:formatCode>General</c:formatCode>
                <c:ptCount val="8"/>
              </c:numCache>
            </c:numRef>
          </c:yVal>
        </c:ser>
        <c:ser>
          <c:idx val="7"/>
          <c:order val="7"/>
          <c:tx>
            <c:strRef>
              <c:f>'Selectivity Figs'!$I$901:$I$902</c:f>
              <c:strCache>
                <c:ptCount val="1"/>
              </c:strCache>
            </c:strRef>
          </c:tx>
          <c:xVal>
            <c:numRef>
              <c:f>'Selectivity Figs'!$A$903:$A$910</c:f>
              <c:numCache>
                <c:formatCode>General</c:formatCode>
                <c:ptCount val="8"/>
              </c:numCache>
            </c:numRef>
          </c:xVal>
          <c:yVal>
            <c:numRef>
              <c:f>'Selectivity Figs'!$I$903:$I$910</c:f>
              <c:numCache>
                <c:formatCode>General</c:formatCode>
                <c:ptCount val="8"/>
              </c:numCache>
            </c:numRef>
          </c:yVal>
        </c:ser>
        <c:ser>
          <c:idx val="8"/>
          <c:order val="8"/>
          <c:tx>
            <c:strRef>
              <c:f>'Selectivity Figs'!$J$901:$J$902</c:f>
              <c:strCache>
                <c:ptCount val="1"/>
              </c:strCache>
            </c:strRef>
          </c:tx>
          <c:xVal>
            <c:numRef>
              <c:f>'Selectivity Figs'!$A$903:$A$910</c:f>
              <c:numCache>
                <c:formatCode>General</c:formatCode>
                <c:ptCount val="8"/>
              </c:numCache>
            </c:numRef>
          </c:xVal>
          <c:yVal>
            <c:numRef>
              <c:f>'Selectivity Figs'!$J$903:$J$910</c:f>
              <c:numCache>
                <c:formatCode>General</c:formatCode>
                <c:ptCount val="8"/>
              </c:numCache>
            </c:numRef>
          </c:yVal>
        </c:ser>
        <c:axId val="220839936"/>
        <c:axId val="220841472"/>
      </c:scatterChart>
      <c:valAx>
        <c:axId val="220839936"/>
        <c:scaling>
          <c:orientation val="minMax"/>
        </c:scaling>
        <c:axPos val="b"/>
        <c:numFmt formatCode="General" sourceLinked="1"/>
        <c:tickLblPos val="nextTo"/>
        <c:crossAx val="220841472"/>
        <c:crosses val="autoZero"/>
        <c:crossBetween val="midCat"/>
      </c:valAx>
      <c:valAx>
        <c:axId val="220841472"/>
        <c:scaling>
          <c:orientation val="minMax"/>
        </c:scaling>
        <c:axPos val="l"/>
        <c:majorGridlines/>
        <c:numFmt formatCode="General" sourceLinked="1"/>
        <c:tickLblPos val="nextTo"/>
        <c:crossAx val="22083993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'Indices-Reg1'!$HJ$1:$HK$1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7883008356546155"/>
          <c:y val="6.9400630914827066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481894150417828"/>
          <c:y val="0.20820189274448012"/>
          <c:w val="0.55431754874651529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'Indices-Reg1'!$HJ$12:$HJ$100</c:f>
              <c:numCache>
                <c:formatCode>General</c:formatCode>
                <c:ptCount val="89"/>
              </c:numCache>
            </c:numRef>
          </c:xVal>
          <c:yVal>
            <c:numRef>
              <c:f>'Indices-Reg1'!$HP$12:$HP$100</c:f>
              <c:numCache>
                <c:formatCode>General</c:formatCode>
                <c:ptCount val="89"/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'Indices-Reg1'!$HJ$12:$HJ$100</c:f>
              <c:numCache>
                <c:formatCode>General</c:formatCode>
                <c:ptCount val="89"/>
              </c:numCache>
            </c:numRef>
          </c:xVal>
          <c:yVal>
            <c:numRef>
              <c:f>'Indices-Reg1'!$HQ$12:$HQ$100</c:f>
              <c:numCache>
                <c:formatCode>General</c:formatCode>
                <c:ptCount val="89"/>
              </c:numCache>
            </c:numRef>
          </c:yVal>
        </c:ser>
        <c:axId val="220967680"/>
        <c:axId val="220969600"/>
      </c:scatterChart>
      <c:valAx>
        <c:axId val="220967680"/>
        <c:scaling>
          <c:orientation val="minMax"/>
          <c:max val="2008"/>
          <c:min val="195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5431754874651529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0969600"/>
        <c:crosses val="autoZero"/>
        <c:crossBetween val="midCat"/>
        <c:majorUnit val="5"/>
        <c:minorUnit val="3.8539999999999988"/>
      </c:valAx>
      <c:valAx>
        <c:axId val="22096960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 Untransformed Index</a:t>
                </a:r>
              </a:p>
            </c:rich>
          </c:tx>
          <c:layout>
            <c:manualLayout>
              <c:xMode val="edge"/>
              <c:yMode val="edge"/>
              <c:x val="1.3927576601671363E-2"/>
              <c:y val="0.2176656151419558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09676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41504178272980641"/>
          <c:y val="0.89274447949526814"/>
          <c:w val="0.42339832869080901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BRA_BB</a:t>
            </a:r>
          </a:p>
        </c:rich>
      </c:tx>
    </c:title>
    <c:plotArea>
      <c:layout/>
      <c:scatterChart>
        <c:scatterStyle val="lineMarker"/>
        <c:ser>
          <c:idx val="0"/>
          <c:order val="0"/>
          <c:tx>
            <c:strRef>
              <c:f>'Selectivity Figs'!$B$3:$B$4</c:f>
              <c:strCache>
                <c:ptCount val="1"/>
                <c:pt idx="0">
                  <c:v>0 -----</c:v>
                </c:pt>
              </c:strCache>
            </c:strRef>
          </c:tx>
          <c:xVal>
            <c:numRef>
              <c:f>'Selectivity Figs'!$A$5:$A$29</c:f>
              <c:numCache>
                <c:formatCode>General</c:formatCode>
                <c:ptCount val="25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</c:numCache>
            </c:numRef>
          </c:xVal>
          <c:yVal>
            <c:numRef>
              <c:f>'Selectivity Figs'!$B$5:$B$29</c:f>
              <c:numCache>
                <c:formatCode>General</c:formatCode>
                <c:ptCount val="25"/>
                <c:pt idx="0">
                  <c:v>7.0000000000000001E-3</c:v>
                </c:pt>
                <c:pt idx="1">
                  <c:v>7.0000000000000001E-3</c:v>
                </c:pt>
                <c:pt idx="2">
                  <c:v>7.0000000000000001E-3</c:v>
                </c:pt>
                <c:pt idx="3">
                  <c:v>7.0000000000000001E-3</c:v>
                </c:pt>
                <c:pt idx="4">
                  <c:v>7.0000000000000001E-3</c:v>
                </c:pt>
                <c:pt idx="5">
                  <c:v>7.0000000000000001E-3</c:v>
                </c:pt>
                <c:pt idx="6">
                  <c:v>7.0000000000000001E-3</c:v>
                </c:pt>
                <c:pt idx="7">
                  <c:v>7.0000000000000001E-3</c:v>
                </c:pt>
                <c:pt idx="8">
                  <c:v>7.0000000000000001E-3</c:v>
                </c:pt>
                <c:pt idx="9">
                  <c:v>7.0000000000000001E-3</c:v>
                </c:pt>
                <c:pt idx="10">
                  <c:v>7.0000000000000001E-3</c:v>
                </c:pt>
                <c:pt idx="11">
                  <c:v>7.0000000000000001E-3</c:v>
                </c:pt>
                <c:pt idx="12">
                  <c:v>7.0000000000000001E-3</c:v>
                </c:pt>
                <c:pt idx="13">
                  <c:v>7.0000000000000001E-3</c:v>
                </c:pt>
                <c:pt idx="14">
                  <c:v>7.0000000000000001E-3</c:v>
                </c:pt>
                <c:pt idx="15">
                  <c:v>7.0000000000000001E-3</c:v>
                </c:pt>
                <c:pt idx="16">
                  <c:v>7.0000000000000001E-3</c:v>
                </c:pt>
                <c:pt idx="17">
                  <c:v>7.0000000000000001E-3</c:v>
                </c:pt>
                <c:pt idx="18">
                  <c:v>7.0000000000000001E-3</c:v>
                </c:pt>
                <c:pt idx="19">
                  <c:v>7.0000000000000001E-3</c:v>
                </c:pt>
                <c:pt idx="20">
                  <c:v>7.0000000000000001E-3</c:v>
                </c:pt>
                <c:pt idx="21">
                  <c:v>7.0000000000000001E-3</c:v>
                </c:pt>
                <c:pt idx="22">
                  <c:v>7.0000000000000001E-3</c:v>
                </c:pt>
                <c:pt idx="23">
                  <c:v>7.0000000000000001E-3</c:v>
                </c:pt>
                <c:pt idx="24">
                  <c:v>7.0000000000000001E-3</c:v>
                </c:pt>
              </c:numCache>
            </c:numRef>
          </c:yVal>
        </c:ser>
        <c:ser>
          <c:idx val="1"/>
          <c:order val="1"/>
          <c:tx>
            <c:strRef>
              <c:f>'Selectivity Figs'!$C$3:$C$4</c:f>
              <c:strCache>
                <c:ptCount val="1"/>
                <c:pt idx="0">
                  <c:v>1 -----</c:v>
                </c:pt>
              </c:strCache>
            </c:strRef>
          </c:tx>
          <c:xVal>
            <c:numRef>
              <c:f>'Selectivity Figs'!$A$5:$A$29</c:f>
              <c:numCache>
                <c:formatCode>General</c:formatCode>
                <c:ptCount val="25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</c:numCache>
            </c:numRef>
          </c:xVal>
          <c:yVal>
            <c:numRef>
              <c:f>'Selectivity Figs'!$C$5:$C$29</c:f>
              <c:numCache>
                <c:formatCode>General</c:formatCode>
                <c:ptCount val="25"/>
                <c:pt idx="0">
                  <c:v>0.61799999999999999</c:v>
                </c:pt>
                <c:pt idx="1">
                  <c:v>0.61799999999999999</c:v>
                </c:pt>
                <c:pt idx="2">
                  <c:v>0.61799999999999999</c:v>
                </c:pt>
                <c:pt idx="3">
                  <c:v>0.61799999999999999</c:v>
                </c:pt>
                <c:pt idx="4">
                  <c:v>0.61799999999999999</c:v>
                </c:pt>
                <c:pt idx="5">
                  <c:v>0.61799999999999999</c:v>
                </c:pt>
                <c:pt idx="6">
                  <c:v>0.61799999999999999</c:v>
                </c:pt>
                <c:pt idx="7">
                  <c:v>0.61799999999999999</c:v>
                </c:pt>
                <c:pt idx="8">
                  <c:v>0.61799999999999999</c:v>
                </c:pt>
                <c:pt idx="9">
                  <c:v>0.61799999999999999</c:v>
                </c:pt>
                <c:pt idx="10">
                  <c:v>0.61799999999999999</c:v>
                </c:pt>
                <c:pt idx="11">
                  <c:v>0.61799999999999999</c:v>
                </c:pt>
                <c:pt idx="12">
                  <c:v>0.61799999999999999</c:v>
                </c:pt>
                <c:pt idx="13">
                  <c:v>0.61799999999999999</c:v>
                </c:pt>
                <c:pt idx="14">
                  <c:v>0.61799999999999999</c:v>
                </c:pt>
                <c:pt idx="15">
                  <c:v>0.61799999999999999</c:v>
                </c:pt>
                <c:pt idx="16">
                  <c:v>0.61799999999999999</c:v>
                </c:pt>
                <c:pt idx="17">
                  <c:v>0.61799999999999999</c:v>
                </c:pt>
                <c:pt idx="18">
                  <c:v>0.61799999999999999</c:v>
                </c:pt>
                <c:pt idx="19">
                  <c:v>0.61799999999999999</c:v>
                </c:pt>
                <c:pt idx="20">
                  <c:v>0.61799999999999999</c:v>
                </c:pt>
                <c:pt idx="21">
                  <c:v>0.61799999999999999</c:v>
                </c:pt>
                <c:pt idx="22">
                  <c:v>0.61799999999999999</c:v>
                </c:pt>
                <c:pt idx="23">
                  <c:v>0.61799999999999999</c:v>
                </c:pt>
                <c:pt idx="24">
                  <c:v>0.61799999999999999</c:v>
                </c:pt>
              </c:numCache>
            </c:numRef>
          </c:yVal>
        </c:ser>
        <c:ser>
          <c:idx val="2"/>
          <c:order val="2"/>
          <c:tx>
            <c:strRef>
              <c:f>'Selectivity Figs'!$D$3:$D$4</c:f>
              <c:strCache>
                <c:ptCount val="1"/>
                <c:pt idx="0">
                  <c:v>2 -----</c:v>
                </c:pt>
              </c:strCache>
            </c:strRef>
          </c:tx>
          <c:xVal>
            <c:numRef>
              <c:f>'Selectivity Figs'!$A$5:$A$29</c:f>
              <c:numCache>
                <c:formatCode>General</c:formatCode>
                <c:ptCount val="25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</c:numCache>
            </c:numRef>
          </c:xVal>
          <c:yVal>
            <c:numRef>
              <c:f>'Selectivity Figs'!$D$5:$D$29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yVal>
        </c:ser>
        <c:ser>
          <c:idx val="3"/>
          <c:order val="3"/>
          <c:tx>
            <c:strRef>
              <c:f>'Selectivity Figs'!$E$3:$E$4</c:f>
              <c:strCache>
                <c:ptCount val="1"/>
                <c:pt idx="0">
                  <c:v>3 -----</c:v>
                </c:pt>
              </c:strCache>
            </c:strRef>
          </c:tx>
          <c:xVal>
            <c:numRef>
              <c:f>'Selectivity Figs'!$A$5:$A$29</c:f>
              <c:numCache>
                <c:formatCode>General</c:formatCode>
                <c:ptCount val="25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</c:numCache>
            </c:numRef>
          </c:xVal>
          <c:yVal>
            <c:numRef>
              <c:f>'Selectivity Figs'!$E$5:$E$29</c:f>
              <c:numCache>
                <c:formatCode>General</c:formatCode>
                <c:ptCount val="25"/>
                <c:pt idx="0">
                  <c:v>0.188</c:v>
                </c:pt>
                <c:pt idx="1">
                  <c:v>0.188</c:v>
                </c:pt>
                <c:pt idx="2">
                  <c:v>0.188</c:v>
                </c:pt>
                <c:pt idx="3">
                  <c:v>0.188</c:v>
                </c:pt>
                <c:pt idx="4">
                  <c:v>0.188</c:v>
                </c:pt>
                <c:pt idx="5">
                  <c:v>0.188</c:v>
                </c:pt>
                <c:pt idx="6">
                  <c:v>0.188</c:v>
                </c:pt>
                <c:pt idx="7">
                  <c:v>0.188</c:v>
                </c:pt>
                <c:pt idx="8">
                  <c:v>0.188</c:v>
                </c:pt>
                <c:pt idx="9">
                  <c:v>0.188</c:v>
                </c:pt>
                <c:pt idx="10">
                  <c:v>0.188</c:v>
                </c:pt>
                <c:pt idx="11">
                  <c:v>0.188</c:v>
                </c:pt>
                <c:pt idx="12">
                  <c:v>0.188</c:v>
                </c:pt>
                <c:pt idx="13">
                  <c:v>0.188</c:v>
                </c:pt>
                <c:pt idx="14">
                  <c:v>0.188</c:v>
                </c:pt>
                <c:pt idx="15">
                  <c:v>0.188</c:v>
                </c:pt>
                <c:pt idx="16">
                  <c:v>0.188</c:v>
                </c:pt>
                <c:pt idx="17">
                  <c:v>0.188</c:v>
                </c:pt>
                <c:pt idx="18">
                  <c:v>0.188</c:v>
                </c:pt>
                <c:pt idx="19">
                  <c:v>0.188</c:v>
                </c:pt>
                <c:pt idx="20">
                  <c:v>0.188</c:v>
                </c:pt>
                <c:pt idx="21">
                  <c:v>0.188</c:v>
                </c:pt>
                <c:pt idx="22">
                  <c:v>0.188</c:v>
                </c:pt>
                <c:pt idx="23">
                  <c:v>0.188</c:v>
                </c:pt>
                <c:pt idx="24">
                  <c:v>0.188</c:v>
                </c:pt>
              </c:numCache>
            </c:numRef>
          </c:yVal>
        </c:ser>
        <c:ser>
          <c:idx val="4"/>
          <c:order val="4"/>
          <c:tx>
            <c:strRef>
              <c:f>'Selectivity Figs'!$F$3:$F$4</c:f>
              <c:strCache>
                <c:ptCount val="1"/>
                <c:pt idx="0">
                  <c:v>4 -----</c:v>
                </c:pt>
              </c:strCache>
            </c:strRef>
          </c:tx>
          <c:xVal>
            <c:numRef>
              <c:f>'Selectivity Figs'!$A$5:$A$29</c:f>
              <c:numCache>
                <c:formatCode>General</c:formatCode>
                <c:ptCount val="25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</c:numCache>
            </c:numRef>
          </c:xVal>
          <c:yVal>
            <c:numRef>
              <c:f>'Selectivity Figs'!$F$5:$F$29</c:f>
              <c:numCache>
                <c:formatCode>General</c:formatCode>
                <c:ptCount val="25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</c:numCache>
            </c:numRef>
          </c:yVal>
        </c:ser>
        <c:axId val="220880896"/>
        <c:axId val="220882432"/>
      </c:scatterChart>
      <c:valAx>
        <c:axId val="220880896"/>
        <c:scaling>
          <c:orientation val="minMax"/>
        </c:scaling>
        <c:axPos val="b"/>
        <c:numFmt formatCode="General" sourceLinked="1"/>
        <c:tickLblPos val="nextTo"/>
        <c:crossAx val="220882432"/>
        <c:crosses val="autoZero"/>
        <c:crossBetween val="midCat"/>
      </c:valAx>
      <c:valAx>
        <c:axId val="220882432"/>
        <c:scaling>
          <c:orientation val="minMax"/>
        </c:scaling>
        <c:axPos val="l"/>
        <c:majorGridlines/>
        <c:numFmt formatCode="General" sourceLinked="1"/>
        <c:tickLblPos val="nextTo"/>
        <c:crossAx val="22088089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US_PLL ATL</a:t>
            </a:r>
          </a:p>
        </c:rich>
      </c:tx>
      <c:layout>
        <c:manualLayout>
          <c:xMode val="edge"/>
          <c:yMode val="edge"/>
          <c:x val="0.386424802131003"/>
          <c:y val="2.7727280004774046E-2"/>
        </c:manualLayout>
      </c:layout>
    </c:title>
    <c:plotArea>
      <c:layout/>
      <c:scatterChart>
        <c:scatterStyle val="lineMarker"/>
        <c:ser>
          <c:idx val="0"/>
          <c:order val="0"/>
          <c:tx>
            <c:strRef>
              <c:f>'Selectivity Figs'!$B$250:$B$251</c:f>
              <c:strCache>
                <c:ptCount val="1"/>
                <c:pt idx="0">
                  <c:v>0 -----</c:v>
                </c:pt>
              </c:strCache>
            </c:strRef>
          </c:tx>
          <c:xVal>
            <c:numRef>
              <c:f>'Selectivity Figs'!$A$252:$A$271</c:f>
              <c:numCache>
                <c:formatCode>General</c:formatCode>
                <c:ptCount val="2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</c:numCache>
            </c:numRef>
          </c:xVal>
          <c:yVal>
            <c:numRef>
              <c:f>'Selectivity Figs'!$B$252:$B$271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</c:ser>
        <c:ser>
          <c:idx val="1"/>
          <c:order val="1"/>
          <c:tx>
            <c:strRef>
              <c:f>'Selectivity Figs'!$C$250:$C$251</c:f>
              <c:strCache>
                <c:ptCount val="1"/>
                <c:pt idx="0">
                  <c:v>1 -----</c:v>
                </c:pt>
              </c:strCache>
            </c:strRef>
          </c:tx>
          <c:xVal>
            <c:numRef>
              <c:f>'Selectivity Figs'!$A$252:$A$271</c:f>
              <c:numCache>
                <c:formatCode>General</c:formatCode>
                <c:ptCount val="2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</c:numCache>
            </c:numRef>
          </c:xVal>
          <c:yVal>
            <c:numRef>
              <c:f>'Selectivity Figs'!$C$252:$C$271</c:f>
              <c:numCache>
                <c:formatCode>General</c:formatCode>
                <c:ptCount val="20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5.0000000000000001E-3</c:v>
                </c:pt>
                <c:pt idx="5">
                  <c:v>5.0000000000000001E-3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5.0000000000000001E-3</c:v>
                </c:pt>
                <c:pt idx="13">
                  <c:v>5.0000000000000001E-3</c:v>
                </c:pt>
                <c:pt idx="14">
                  <c:v>5.0000000000000001E-3</c:v>
                </c:pt>
                <c:pt idx="15">
                  <c:v>5.0000000000000001E-3</c:v>
                </c:pt>
                <c:pt idx="16">
                  <c:v>5.0000000000000001E-3</c:v>
                </c:pt>
                <c:pt idx="17">
                  <c:v>5.0000000000000001E-3</c:v>
                </c:pt>
                <c:pt idx="18">
                  <c:v>5.0000000000000001E-3</c:v>
                </c:pt>
                <c:pt idx="19">
                  <c:v>5.0000000000000001E-3</c:v>
                </c:pt>
              </c:numCache>
            </c:numRef>
          </c:yVal>
        </c:ser>
        <c:ser>
          <c:idx val="2"/>
          <c:order val="2"/>
          <c:tx>
            <c:strRef>
              <c:f>'Selectivity Figs'!$D$250:$D$251</c:f>
              <c:strCache>
                <c:ptCount val="1"/>
                <c:pt idx="0">
                  <c:v>2 -----</c:v>
                </c:pt>
              </c:strCache>
            </c:strRef>
          </c:tx>
          <c:xVal>
            <c:numRef>
              <c:f>'Selectivity Figs'!$A$252:$A$271</c:f>
              <c:numCache>
                <c:formatCode>General</c:formatCode>
                <c:ptCount val="2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</c:numCache>
            </c:numRef>
          </c:xVal>
          <c:yVal>
            <c:numRef>
              <c:f>'Selectivity Figs'!$D$252:$D$271</c:f>
              <c:numCache>
                <c:formatCode>General</c:formatCode>
                <c:ptCount val="20"/>
                <c:pt idx="0">
                  <c:v>0.26100000000000001</c:v>
                </c:pt>
                <c:pt idx="1">
                  <c:v>0.26100000000000001</c:v>
                </c:pt>
                <c:pt idx="2">
                  <c:v>0.26100000000000001</c:v>
                </c:pt>
                <c:pt idx="3">
                  <c:v>0.26100000000000001</c:v>
                </c:pt>
                <c:pt idx="4">
                  <c:v>0.26100000000000001</c:v>
                </c:pt>
                <c:pt idx="5">
                  <c:v>0.26100000000000001</c:v>
                </c:pt>
                <c:pt idx="6">
                  <c:v>0.26100000000000001</c:v>
                </c:pt>
                <c:pt idx="7">
                  <c:v>0.26100000000000001</c:v>
                </c:pt>
                <c:pt idx="8">
                  <c:v>0.26100000000000001</c:v>
                </c:pt>
                <c:pt idx="9">
                  <c:v>0.26100000000000001</c:v>
                </c:pt>
                <c:pt idx="10">
                  <c:v>0.26100000000000001</c:v>
                </c:pt>
                <c:pt idx="11">
                  <c:v>0.26100000000000001</c:v>
                </c:pt>
                <c:pt idx="12">
                  <c:v>0.26100000000000001</c:v>
                </c:pt>
                <c:pt idx="13">
                  <c:v>0.26100000000000001</c:v>
                </c:pt>
                <c:pt idx="14">
                  <c:v>0.26100000000000001</c:v>
                </c:pt>
                <c:pt idx="15">
                  <c:v>0.26100000000000001</c:v>
                </c:pt>
                <c:pt idx="16">
                  <c:v>0.26100000000000001</c:v>
                </c:pt>
                <c:pt idx="17">
                  <c:v>0.26100000000000001</c:v>
                </c:pt>
                <c:pt idx="18">
                  <c:v>0.26100000000000001</c:v>
                </c:pt>
                <c:pt idx="19">
                  <c:v>0.26100000000000001</c:v>
                </c:pt>
              </c:numCache>
            </c:numRef>
          </c:yVal>
        </c:ser>
        <c:ser>
          <c:idx val="3"/>
          <c:order val="3"/>
          <c:tx>
            <c:strRef>
              <c:f>'Selectivity Figs'!$E$250:$E$251</c:f>
              <c:strCache>
                <c:ptCount val="1"/>
                <c:pt idx="0">
                  <c:v>3 -----</c:v>
                </c:pt>
              </c:strCache>
            </c:strRef>
          </c:tx>
          <c:xVal>
            <c:numRef>
              <c:f>'Selectivity Figs'!$A$252:$A$271</c:f>
              <c:numCache>
                <c:formatCode>General</c:formatCode>
                <c:ptCount val="2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</c:numCache>
            </c:numRef>
          </c:xVal>
          <c:yVal>
            <c:numRef>
              <c:f>'Selectivity Figs'!$E$252:$E$271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yVal>
        </c:ser>
        <c:ser>
          <c:idx val="4"/>
          <c:order val="4"/>
          <c:tx>
            <c:strRef>
              <c:f>'Selectivity Figs'!$F$250:$F$251</c:f>
              <c:strCache>
                <c:ptCount val="1"/>
                <c:pt idx="0">
                  <c:v>4 -----</c:v>
                </c:pt>
              </c:strCache>
            </c:strRef>
          </c:tx>
          <c:xVal>
            <c:numRef>
              <c:f>'Selectivity Figs'!$A$252:$A$271</c:f>
              <c:numCache>
                <c:formatCode>General</c:formatCode>
                <c:ptCount val="2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</c:numCache>
            </c:numRef>
          </c:xVal>
          <c:yVal>
            <c:numRef>
              <c:f>'Selectivity Figs'!$F$252:$F$271</c:f>
              <c:numCache>
                <c:formatCode>General</c:formatCode>
                <c:ptCount val="20"/>
                <c:pt idx="0">
                  <c:v>0.48</c:v>
                </c:pt>
                <c:pt idx="1">
                  <c:v>0.48</c:v>
                </c:pt>
                <c:pt idx="2">
                  <c:v>0.48</c:v>
                </c:pt>
                <c:pt idx="3">
                  <c:v>0.48</c:v>
                </c:pt>
                <c:pt idx="4">
                  <c:v>0.48</c:v>
                </c:pt>
                <c:pt idx="5">
                  <c:v>0.48</c:v>
                </c:pt>
                <c:pt idx="6">
                  <c:v>0.48</c:v>
                </c:pt>
                <c:pt idx="7">
                  <c:v>0.48</c:v>
                </c:pt>
                <c:pt idx="8">
                  <c:v>0.48</c:v>
                </c:pt>
                <c:pt idx="9">
                  <c:v>0.48</c:v>
                </c:pt>
                <c:pt idx="10">
                  <c:v>0.48</c:v>
                </c:pt>
                <c:pt idx="11">
                  <c:v>0.48</c:v>
                </c:pt>
                <c:pt idx="12">
                  <c:v>0.48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  <c:pt idx="19">
                  <c:v>0.48</c:v>
                </c:pt>
              </c:numCache>
            </c:numRef>
          </c:yVal>
        </c:ser>
        <c:ser>
          <c:idx val="5"/>
          <c:order val="5"/>
          <c:tx>
            <c:strRef>
              <c:f>'Selectivity Figs'!$G$250:$G$251</c:f>
              <c:strCache>
                <c:ptCount val="1"/>
                <c:pt idx="0">
                  <c:v>5 -----</c:v>
                </c:pt>
              </c:strCache>
            </c:strRef>
          </c:tx>
          <c:xVal>
            <c:numRef>
              <c:f>'Selectivity Figs'!$A$252:$A$271</c:f>
              <c:numCache>
                <c:formatCode>General</c:formatCode>
                <c:ptCount val="2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</c:numCache>
            </c:numRef>
          </c:xVal>
          <c:yVal>
            <c:numRef>
              <c:f>'Selectivity Figs'!$G$252:$G$271</c:f>
              <c:numCache>
                <c:formatCode>General</c:formatCode>
                <c:ptCount val="20"/>
                <c:pt idx="0">
                  <c:v>2.7E-2</c:v>
                </c:pt>
                <c:pt idx="1">
                  <c:v>2.7E-2</c:v>
                </c:pt>
                <c:pt idx="2">
                  <c:v>2.7E-2</c:v>
                </c:pt>
                <c:pt idx="3">
                  <c:v>2.7E-2</c:v>
                </c:pt>
                <c:pt idx="4">
                  <c:v>2.7E-2</c:v>
                </c:pt>
                <c:pt idx="5">
                  <c:v>2.7E-2</c:v>
                </c:pt>
                <c:pt idx="6">
                  <c:v>2.7E-2</c:v>
                </c:pt>
                <c:pt idx="7">
                  <c:v>2.7E-2</c:v>
                </c:pt>
                <c:pt idx="8">
                  <c:v>2.7E-2</c:v>
                </c:pt>
                <c:pt idx="9">
                  <c:v>2.7E-2</c:v>
                </c:pt>
                <c:pt idx="10">
                  <c:v>2.7E-2</c:v>
                </c:pt>
                <c:pt idx="11">
                  <c:v>2.7E-2</c:v>
                </c:pt>
                <c:pt idx="12">
                  <c:v>2.7E-2</c:v>
                </c:pt>
                <c:pt idx="13">
                  <c:v>2.7E-2</c:v>
                </c:pt>
                <c:pt idx="14">
                  <c:v>2.7E-2</c:v>
                </c:pt>
                <c:pt idx="15">
                  <c:v>2.7E-2</c:v>
                </c:pt>
                <c:pt idx="16">
                  <c:v>2.7E-2</c:v>
                </c:pt>
                <c:pt idx="17">
                  <c:v>2.7E-2</c:v>
                </c:pt>
                <c:pt idx="18">
                  <c:v>2.7E-2</c:v>
                </c:pt>
                <c:pt idx="19">
                  <c:v>2.7E-2</c:v>
                </c:pt>
              </c:numCache>
            </c:numRef>
          </c:yVal>
        </c:ser>
        <c:axId val="258425984"/>
        <c:axId val="258427520"/>
      </c:scatterChart>
      <c:valAx>
        <c:axId val="258425984"/>
        <c:scaling>
          <c:orientation val="minMax"/>
        </c:scaling>
        <c:axPos val="b"/>
        <c:numFmt formatCode="General" sourceLinked="1"/>
        <c:tickLblPos val="nextTo"/>
        <c:crossAx val="258427520"/>
        <c:crosses val="autoZero"/>
        <c:crossBetween val="midCat"/>
      </c:valAx>
      <c:valAx>
        <c:axId val="258427520"/>
        <c:scaling>
          <c:orientation val="minMax"/>
        </c:scaling>
        <c:axPos val="l"/>
        <c:majorGridlines/>
        <c:numFmt formatCode="General" sourceLinked="1"/>
        <c:tickLblPos val="nextTo"/>
        <c:crossAx val="25842598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 Figs'!$A$349</c:f>
          <c:strCache>
            <c:ptCount val="1"/>
            <c:pt idx="0">
              <c:v>VEN_PS</c:v>
            </c:pt>
          </c:strCache>
        </c:strRef>
      </c:tx>
    </c:title>
    <c:plotArea>
      <c:layout/>
      <c:scatterChart>
        <c:scatterStyle val="lineMarker"/>
        <c:ser>
          <c:idx val="0"/>
          <c:order val="0"/>
          <c:tx>
            <c:strRef>
              <c:f>'Selectivity Figs'!$B$351:$B$352</c:f>
              <c:strCache>
                <c:ptCount val="1"/>
                <c:pt idx="0">
                  <c:v>0 -----</c:v>
                </c:pt>
              </c:strCache>
            </c:strRef>
          </c:tx>
          <c:xVal>
            <c:numRef>
              <c:f>'Selectivity Figs'!$A$353:$A$375</c:f>
              <c:numCache>
                <c:formatCode>General</c:formatCode>
                <c:ptCount val="23"/>
                <c:pt idx="0">
                  <c:v>1983</c:v>
                </c:pt>
                <c:pt idx="1">
                  <c:v>1984</c:v>
                </c:pt>
                <c:pt idx="2">
                  <c:v>1985</c:v>
                </c:pt>
                <c:pt idx="3">
                  <c:v>1986</c:v>
                </c:pt>
                <c:pt idx="4">
                  <c:v>1987</c:v>
                </c:pt>
                <c:pt idx="5">
                  <c:v>1988</c:v>
                </c:pt>
                <c:pt idx="6">
                  <c:v>1989</c:v>
                </c:pt>
                <c:pt idx="7">
                  <c:v>1990</c:v>
                </c:pt>
                <c:pt idx="8">
                  <c:v>1991</c:v>
                </c:pt>
                <c:pt idx="9">
                  <c:v>1992</c:v>
                </c:pt>
                <c:pt idx="10">
                  <c:v>1993</c:v>
                </c:pt>
                <c:pt idx="11">
                  <c:v>1994</c:v>
                </c:pt>
                <c:pt idx="12">
                  <c:v>1995</c:v>
                </c:pt>
                <c:pt idx="13">
                  <c:v>1996</c:v>
                </c:pt>
                <c:pt idx="14">
                  <c:v>1997</c:v>
                </c:pt>
                <c:pt idx="15">
                  <c:v>1998</c:v>
                </c:pt>
                <c:pt idx="16">
                  <c:v>1999</c:v>
                </c:pt>
                <c:pt idx="17">
                  <c:v>2000</c:v>
                </c:pt>
                <c:pt idx="18">
                  <c:v>2001</c:v>
                </c:pt>
                <c:pt idx="19">
                  <c:v>2002</c:v>
                </c:pt>
                <c:pt idx="20">
                  <c:v>2003</c:v>
                </c:pt>
                <c:pt idx="21">
                  <c:v>2004</c:v>
                </c:pt>
                <c:pt idx="22">
                  <c:v>2005</c:v>
                </c:pt>
              </c:numCache>
            </c:numRef>
          </c:xVal>
          <c:yVal>
            <c:numRef>
              <c:f>'Selectivity Figs'!$B$353:$B$375</c:f>
              <c:numCache>
                <c:formatCode>General</c:formatCode>
                <c:ptCount val="23"/>
                <c:pt idx="0">
                  <c:v>1.4E-2</c:v>
                </c:pt>
                <c:pt idx="1">
                  <c:v>1.4E-2</c:v>
                </c:pt>
                <c:pt idx="2">
                  <c:v>1.4E-2</c:v>
                </c:pt>
                <c:pt idx="3">
                  <c:v>1.4E-2</c:v>
                </c:pt>
                <c:pt idx="4">
                  <c:v>1.4E-2</c:v>
                </c:pt>
                <c:pt idx="5">
                  <c:v>1.4E-2</c:v>
                </c:pt>
                <c:pt idx="6">
                  <c:v>1.4E-2</c:v>
                </c:pt>
                <c:pt idx="7">
                  <c:v>1.4E-2</c:v>
                </c:pt>
                <c:pt idx="8">
                  <c:v>1.4E-2</c:v>
                </c:pt>
                <c:pt idx="9">
                  <c:v>1.4E-2</c:v>
                </c:pt>
                <c:pt idx="10">
                  <c:v>1.4E-2</c:v>
                </c:pt>
                <c:pt idx="11">
                  <c:v>1.4E-2</c:v>
                </c:pt>
                <c:pt idx="12">
                  <c:v>1.4E-2</c:v>
                </c:pt>
                <c:pt idx="13">
                  <c:v>1.4E-2</c:v>
                </c:pt>
                <c:pt idx="14">
                  <c:v>1.4E-2</c:v>
                </c:pt>
                <c:pt idx="15">
                  <c:v>1.4E-2</c:v>
                </c:pt>
                <c:pt idx="16">
                  <c:v>1.4E-2</c:v>
                </c:pt>
                <c:pt idx="17">
                  <c:v>1.4E-2</c:v>
                </c:pt>
                <c:pt idx="18">
                  <c:v>1.4E-2</c:v>
                </c:pt>
                <c:pt idx="19">
                  <c:v>1.4E-2</c:v>
                </c:pt>
                <c:pt idx="20">
                  <c:v>1.4E-2</c:v>
                </c:pt>
                <c:pt idx="21">
                  <c:v>1.4E-2</c:v>
                </c:pt>
                <c:pt idx="22">
                  <c:v>1.4E-2</c:v>
                </c:pt>
              </c:numCache>
            </c:numRef>
          </c:yVal>
        </c:ser>
        <c:ser>
          <c:idx val="1"/>
          <c:order val="1"/>
          <c:tx>
            <c:strRef>
              <c:f>'Selectivity Figs'!$C$351:$C$352</c:f>
              <c:strCache>
                <c:ptCount val="1"/>
                <c:pt idx="0">
                  <c:v>1 -----</c:v>
                </c:pt>
              </c:strCache>
            </c:strRef>
          </c:tx>
          <c:xVal>
            <c:numRef>
              <c:f>'Selectivity Figs'!$A$353:$A$375</c:f>
              <c:numCache>
                <c:formatCode>General</c:formatCode>
                <c:ptCount val="23"/>
                <c:pt idx="0">
                  <c:v>1983</c:v>
                </c:pt>
                <c:pt idx="1">
                  <c:v>1984</c:v>
                </c:pt>
                <c:pt idx="2">
                  <c:v>1985</c:v>
                </c:pt>
                <c:pt idx="3">
                  <c:v>1986</c:v>
                </c:pt>
                <c:pt idx="4">
                  <c:v>1987</c:v>
                </c:pt>
                <c:pt idx="5">
                  <c:v>1988</c:v>
                </c:pt>
                <c:pt idx="6">
                  <c:v>1989</c:v>
                </c:pt>
                <c:pt idx="7">
                  <c:v>1990</c:v>
                </c:pt>
                <c:pt idx="8">
                  <c:v>1991</c:v>
                </c:pt>
                <c:pt idx="9">
                  <c:v>1992</c:v>
                </c:pt>
                <c:pt idx="10">
                  <c:v>1993</c:v>
                </c:pt>
                <c:pt idx="11">
                  <c:v>1994</c:v>
                </c:pt>
                <c:pt idx="12">
                  <c:v>1995</c:v>
                </c:pt>
                <c:pt idx="13">
                  <c:v>1996</c:v>
                </c:pt>
                <c:pt idx="14">
                  <c:v>1997</c:v>
                </c:pt>
                <c:pt idx="15">
                  <c:v>1998</c:v>
                </c:pt>
                <c:pt idx="16">
                  <c:v>1999</c:v>
                </c:pt>
                <c:pt idx="17">
                  <c:v>2000</c:v>
                </c:pt>
                <c:pt idx="18">
                  <c:v>2001</c:v>
                </c:pt>
                <c:pt idx="19">
                  <c:v>2002</c:v>
                </c:pt>
                <c:pt idx="20">
                  <c:v>2003</c:v>
                </c:pt>
                <c:pt idx="21">
                  <c:v>2004</c:v>
                </c:pt>
                <c:pt idx="22">
                  <c:v>2005</c:v>
                </c:pt>
              </c:numCache>
            </c:numRef>
          </c:xVal>
          <c:yVal>
            <c:numRef>
              <c:f>'Selectivity Figs'!$C$353:$C$375</c:f>
              <c:numCache>
                <c:formatCode>General</c:formatCode>
                <c:ptCount val="23"/>
                <c:pt idx="0">
                  <c:v>0.63</c:v>
                </c:pt>
                <c:pt idx="1">
                  <c:v>0.63</c:v>
                </c:pt>
                <c:pt idx="2">
                  <c:v>0.63</c:v>
                </c:pt>
                <c:pt idx="3">
                  <c:v>0.63</c:v>
                </c:pt>
                <c:pt idx="4">
                  <c:v>0.63</c:v>
                </c:pt>
                <c:pt idx="5">
                  <c:v>0.63</c:v>
                </c:pt>
                <c:pt idx="6">
                  <c:v>0.63</c:v>
                </c:pt>
                <c:pt idx="7">
                  <c:v>0.63</c:v>
                </c:pt>
                <c:pt idx="8">
                  <c:v>0.63</c:v>
                </c:pt>
                <c:pt idx="9">
                  <c:v>0.63</c:v>
                </c:pt>
                <c:pt idx="10">
                  <c:v>0.63</c:v>
                </c:pt>
                <c:pt idx="11">
                  <c:v>0.63</c:v>
                </c:pt>
                <c:pt idx="12">
                  <c:v>0.63</c:v>
                </c:pt>
                <c:pt idx="13">
                  <c:v>0.63</c:v>
                </c:pt>
                <c:pt idx="14">
                  <c:v>0.63</c:v>
                </c:pt>
                <c:pt idx="15">
                  <c:v>0.63</c:v>
                </c:pt>
                <c:pt idx="16">
                  <c:v>0.63</c:v>
                </c:pt>
                <c:pt idx="17">
                  <c:v>0.63</c:v>
                </c:pt>
                <c:pt idx="18">
                  <c:v>0.63</c:v>
                </c:pt>
                <c:pt idx="19">
                  <c:v>0.63</c:v>
                </c:pt>
                <c:pt idx="20">
                  <c:v>0.63</c:v>
                </c:pt>
                <c:pt idx="21">
                  <c:v>0.63</c:v>
                </c:pt>
                <c:pt idx="22">
                  <c:v>0.63</c:v>
                </c:pt>
              </c:numCache>
            </c:numRef>
          </c:yVal>
        </c:ser>
        <c:ser>
          <c:idx val="2"/>
          <c:order val="2"/>
          <c:tx>
            <c:strRef>
              <c:f>'Selectivity Figs'!$D$351:$D$352</c:f>
              <c:strCache>
                <c:ptCount val="1"/>
                <c:pt idx="0">
                  <c:v>2 -----</c:v>
                </c:pt>
              </c:strCache>
            </c:strRef>
          </c:tx>
          <c:xVal>
            <c:numRef>
              <c:f>'Selectivity Figs'!$A$353:$A$375</c:f>
              <c:numCache>
                <c:formatCode>General</c:formatCode>
                <c:ptCount val="23"/>
                <c:pt idx="0">
                  <c:v>1983</c:v>
                </c:pt>
                <c:pt idx="1">
                  <c:v>1984</c:v>
                </c:pt>
                <c:pt idx="2">
                  <c:v>1985</c:v>
                </c:pt>
                <c:pt idx="3">
                  <c:v>1986</c:v>
                </c:pt>
                <c:pt idx="4">
                  <c:v>1987</c:v>
                </c:pt>
                <c:pt idx="5">
                  <c:v>1988</c:v>
                </c:pt>
                <c:pt idx="6">
                  <c:v>1989</c:v>
                </c:pt>
                <c:pt idx="7">
                  <c:v>1990</c:v>
                </c:pt>
                <c:pt idx="8">
                  <c:v>1991</c:v>
                </c:pt>
                <c:pt idx="9">
                  <c:v>1992</c:v>
                </c:pt>
                <c:pt idx="10">
                  <c:v>1993</c:v>
                </c:pt>
                <c:pt idx="11">
                  <c:v>1994</c:v>
                </c:pt>
                <c:pt idx="12">
                  <c:v>1995</c:v>
                </c:pt>
                <c:pt idx="13">
                  <c:v>1996</c:v>
                </c:pt>
                <c:pt idx="14">
                  <c:v>1997</c:v>
                </c:pt>
                <c:pt idx="15">
                  <c:v>1998</c:v>
                </c:pt>
                <c:pt idx="16">
                  <c:v>1999</c:v>
                </c:pt>
                <c:pt idx="17">
                  <c:v>2000</c:v>
                </c:pt>
                <c:pt idx="18">
                  <c:v>2001</c:v>
                </c:pt>
                <c:pt idx="19">
                  <c:v>2002</c:v>
                </c:pt>
                <c:pt idx="20">
                  <c:v>2003</c:v>
                </c:pt>
                <c:pt idx="21">
                  <c:v>2004</c:v>
                </c:pt>
                <c:pt idx="22">
                  <c:v>2005</c:v>
                </c:pt>
              </c:numCache>
            </c:numRef>
          </c:xVal>
          <c:yVal>
            <c:numRef>
              <c:f>'Selectivity Figs'!$D$353:$D$375</c:f>
              <c:numCache>
                <c:formatCode>General</c:formatCode>
                <c:ptCount val="23"/>
                <c:pt idx="0">
                  <c:v>0.86799999999999999</c:v>
                </c:pt>
                <c:pt idx="1">
                  <c:v>0.86799999999999999</c:v>
                </c:pt>
                <c:pt idx="2">
                  <c:v>0.86799999999999999</c:v>
                </c:pt>
                <c:pt idx="3">
                  <c:v>0.86799999999999999</c:v>
                </c:pt>
                <c:pt idx="4">
                  <c:v>0.86799999999999999</c:v>
                </c:pt>
                <c:pt idx="5">
                  <c:v>0.86799999999999999</c:v>
                </c:pt>
                <c:pt idx="6">
                  <c:v>0.86799999999999999</c:v>
                </c:pt>
                <c:pt idx="7">
                  <c:v>0.86799999999999999</c:v>
                </c:pt>
                <c:pt idx="8">
                  <c:v>0.86799999999999999</c:v>
                </c:pt>
                <c:pt idx="9">
                  <c:v>0.86799999999999999</c:v>
                </c:pt>
                <c:pt idx="10">
                  <c:v>0.86799999999999999</c:v>
                </c:pt>
                <c:pt idx="11">
                  <c:v>0.86799999999999999</c:v>
                </c:pt>
                <c:pt idx="12">
                  <c:v>0.86799999999999999</c:v>
                </c:pt>
                <c:pt idx="13">
                  <c:v>0.86799999999999999</c:v>
                </c:pt>
                <c:pt idx="14">
                  <c:v>0.86799999999999999</c:v>
                </c:pt>
                <c:pt idx="15">
                  <c:v>0.86799999999999999</c:v>
                </c:pt>
                <c:pt idx="16">
                  <c:v>0.86799999999999999</c:v>
                </c:pt>
                <c:pt idx="17">
                  <c:v>0.86799999999999999</c:v>
                </c:pt>
                <c:pt idx="18">
                  <c:v>0.86799999999999999</c:v>
                </c:pt>
                <c:pt idx="19">
                  <c:v>0.86799999999999999</c:v>
                </c:pt>
                <c:pt idx="20">
                  <c:v>0.86799999999999999</c:v>
                </c:pt>
                <c:pt idx="21">
                  <c:v>0.86799999999999999</c:v>
                </c:pt>
                <c:pt idx="22">
                  <c:v>0.86799999999999999</c:v>
                </c:pt>
              </c:numCache>
            </c:numRef>
          </c:yVal>
        </c:ser>
        <c:ser>
          <c:idx val="3"/>
          <c:order val="3"/>
          <c:tx>
            <c:strRef>
              <c:f>'Selectivity Figs'!$E$351:$E$352</c:f>
              <c:strCache>
                <c:ptCount val="1"/>
                <c:pt idx="0">
                  <c:v>3 -----</c:v>
                </c:pt>
              </c:strCache>
            </c:strRef>
          </c:tx>
          <c:xVal>
            <c:numRef>
              <c:f>'Selectivity Figs'!$A$353:$A$375</c:f>
              <c:numCache>
                <c:formatCode>General</c:formatCode>
                <c:ptCount val="23"/>
                <c:pt idx="0">
                  <c:v>1983</c:v>
                </c:pt>
                <c:pt idx="1">
                  <c:v>1984</c:v>
                </c:pt>
                <c:pt idx="2">
                  <c:v>1985</c:v>
                </c:pt>
                <c:pt idx="3">
                  <c:v>1986</c:v>
                </c:pt>
                <c:pt idx="4">
                  <c:v>1987</c:v>
                </c:pt>
                <c:pt idx="5">
                  <c:v>1988</c:v>
                </c:pt>
                <c:pt idx="6">
                  <c:v>1989</c:v>
                </c:pt>
                <c:pt idx="7">
                  <c:v>1990</c:v>
                </c:pt>
                <c:pt idx="8">
                  <c:v>1991</c:v>
                </c:pt>
                <c:pt idx="9">
                  <c:v>1992</c:v>
                </c:pt>
                <c:pt idx="10">
                  <c:v>1993</c:v>
                </c:pt>
                <c:pt idx="11">
                  <c:v>1994</c:v>
                </c:pt>
                <c:pt idx="12">
                  <c:v>1995</c:v>
                </c:pt>
                <c:pt idx="13">
                  <c:v>1996</c:v>
                </c:pt>
                <c:pt idx="14">
                  <c:v>1997</c:v>
                </c:pt>
                <c:pt idx="15">
                  <c:v>1998</c:v>
                </c:pt>
                <c:pt idx="16">
                  <c:v>1999</c:v>
                </c:pt>
                <c:pt idx="17">
                  <c:v>2000</c:v>
                </c:pt>
                <c:pt idx="18">
                  <c:v>2001</c:v>
                </c:pt>
                <c:pt idx="19">
                  <c:v>2002</c:v>
                </c:pt>
                <c:pt idx="20">
                  <c:v>2003</c:v>
                </c:pt>
                <c:pt idx="21">
                  <c:v>2004</c:v>
                </c:pt>
                <c:pt idx="22">
                  <c:v>2005</c:v>
                </c:pt>
              </c:numCache>
            </c:numRef>
          </c:xVal>
          <c:yVal>
            <c:numRef>
              <c:f>'Selectivity Figs'!$E$353:$E$375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</c:numCache>
            </c:numRef>
          </c:yVal>
        </c:ser>
        <c:ser>
          <c:idx val="4"/>
          <c:order val="4"/>
          <c:tx>
            <c:strRef>
              <c:f>'Selectivity Figs'!$F$351:$F$352</c:f>
              <c:strCache>
                <c:ptCount val="1"/>
                <c:pt idx="0">
                  <c:v>4 -----</c:v>
                </c:pt>
              </c:strCache>
            </c:strRef>
          </c:tx>
          <c:xVal>
            <c:numRef>
              <c:f>'Selectivity Figs'!$A$353:$A$375</c:f>
              <c:numCache>
                <c:formatCode>General</c:formatCode>
                <c:ptCount val="23"/>
                <c:pt idx="0">
                  <c:v>1983</c:v>
                </c:pt>
                <c:pt idx="1">
                  <c:v>1984</c:v>
                </c:pt>
                <c:pt idx="2">
                  <c:v>1985</c:v>
                </c:pt>
                <c:pt idx="3">
                  <c:v>1986</c:v>
                </c:pt>
                <c:pt idx="4">
                  <c:v>1987</c:v>
                </c:pt>
                <c:pt idx="5">
                  <c:v>1988</c:v>
                </c:pt>
                <c:pt idx="6">
                  <c:v>1989</c:v>
                </c:pt>
                <c:pt idx="7">
                  <c:v>1990</c:v>
                </c:pt>
                <c:pt idx="8">
                  <c:v>1991</c:v>
                </c:pt>
                <c:pt idx="9">
                  <c:v>1992</c:v>
                </c:pt>
                <c:pt idx="10">
                  <c:v>1993</c:v>
                </c:pt>
                <c:pt idx="11">
                  <c:v>1994</c:v>
                </c:pt>
                <c:pt idx="12">
                  <c:v>1995</c:v>
                </c:pt>
                <c:pt idx="13">
                  <c:v>1996</c:v>
                </c:pt>
                <c:pt idx="14">
                  <c:v>1997</c:v>
                </c:pt>
                <c:pt idx="15">
                  <c:v>1998</c:v>
                </c:pt>
                <c:pt idx="16">
                  <c:v>1999</c:v>
                </c:pt>
                <c:pt idx="17">
                  <c:v>2000</c:v>
                </c:pt>
                <c:pt idx="18">
                  <c:v>2001</c:v>
                </c:pt>
                <c:pt idx="19">
                  <c:v>2002</c:v>
                </c:pt>
                <c:pt idx="20">
                  <c:v>2003</c:v>
                </c:pt>
                <c:pt idx="21">
                  <c:v>2004</c:v>
                </c:pt>
                <c:pt idx="22">
                  <c:v>2005</c:v>
                </c:pt>
              </c:numCache>
            </c:numRef>
          </c:xVal>
          <c:yVal>
            <c:numRef>
              <c:f>'Selectivity Figs'!$F$353:$F$375</c:f>
              <c:numCache>
                <c:formatCode>General</c:formatCode>
                <c:ptCount val="23"/>
                <c:pt idx="0">
                  <c:v>0.19500000000000001</c:v>
                </c:pt>
                <c:pt idx="1">
                  <c:v>0.19500000000000001</c:v>
                </c:pt>
                <c:pt idx="2">
                  <c:v>0.19500000000000001</c:v>
                </c:pt>
                <c:pt idx="3">
                  <c:v>0.19500000000000001</c:v>
                </c:pt>
                <c:pt idx="4">
                  <c:v>0.19500000000000001</c:v>
                </c:pt>
                <c:pt idx="5">
                  <c:v>0.19500000000000001</c:v>
                </c:pt>
                <c:pt idx="6">
                  <c:v>0.19500000000000001</c:v>
                </c:pt>
                <c:pt idx="7">
                  <c:v>0.19500000000000001</c:v>
                </c:pt>
                <c:pt idx="8">
                  <c:v>0.19500000000000001</c:v>
                </c:pt>
                <c:pt idx="9">
                  <c:v>0.19500000000000001</c:v>
                </c:pt>
                <c:pt idx="10">
                  <c:v>0.19500000000000001</c:v>
                </c:pt>
                <c:pt idx="11">
                  <c:v>0.19500000000000001</c:v>
                </c:pt>
                <c:pt idx="12">
                  <c:v>0.19500000000000001</c:v>
                </c:pt>
                <c:pt idx="13">
                  <c:v>0.19500000000000001</c:v>
                </c:pt>
                <c:pt idx="14">
                  <c:v>0.19500000000000001</c:v>
                </c:pt>
                <c:pt idx="15">
                  <c:v>0.19500000000000001</c:v>
                </c:pt>
                <c:pt idx="16">
                  <c:v>0.19500000000000001</c:v>
                </c:pt>
                <c:pt idx="17">
                  <c:v>0.19500000000000001</c:v>
                </c:pt>
                <c:pt idx="18">
                  <c:v>0.19500000000000001</c:v>
                </c:pt>
                <c:pt idx="19">
                  <c:v>0.19500000000000001</c:v>
                </c:pt>
                <c:pt idx="20">
                  <c:v>0.19500000000000001</c:v>
                </c:pt>
                <c:pt idx="21">
                  <c:v>0.19500000000000001</c:v>
                </c:pt>
                <c:pt idx="22">
                  <c:v>0.19500000000000001</c:v>
                </c:pt>
              </c:numCache>
            </c:numRef>
          </c:yVal>
        </c:ser>
        <c:axId val="258467328"/>
        <c:axId val="258468864"/>
      </c:scatterChart>
      <c:valAx>
        <c:axId val="258467328"/>
        <c:scaling>
          <c:orientation val="minMax"/>
        </c:scaling>
        <c:axPos val="b"/>
        <c:numFmt formatCode="General" sourceLinked="1"/>
        <c:tickLblPos val="nextTo"/>
        <c:crossAx val="258468864"/>
        <c:crosses val="autoZero"/>
        <c:crossBetween val="midCat"/>
      </c:valAx>
      <c:valAx>
        <c:axId val="258468864"/>
        <c:scaling>
          <c:orientation val="minMax"/>
        </c:scaling>
        <c:axPos val="l"/>
        <c:majorGridlines/>
        <c:numFmt formatCode="General" sourceLinked="1"/>
        <c:tickLblPos val="nextTo"/>
        <c:crossAx val="25846732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26" Type="http://schemas.openxmlformats.org/officeDocument/2006/relationships/chart" Target="../charts/chart37.xml"/><Relationship Id="rId39" Type="http://schemas.openxmlformats.org/officeDocument/2006/relationships/chart" Target="../charts/chart50.xml"/><Relationship Id="rId21" Type="http://schemas.openxmlformats.org/officeDocument/2006/relationships/chart" Target="../charts/chart32.xml"/><Relationship Id="rId34" Type="http://schemas.openxmlformats.org/officeDocument/2006/relationships/chart" Target="../charts/chart45.xml"/><Relationship Id="rId42" Type="http://schemas.openxmlformats.org/officeDocument/2006/relationships/chart" Target="../charts/chart53.xml"/><Relationship Id="rId47" Type="http://schemas.openxmlformats.org/officeDocument/2006/relationships/chart" Target="../charts/chart58.xml"/><Relationship Id="rId50" Type="http://schemas.openxmlformats.org/officeDocument/2006/relationships/chart" Target="../charts/chart61.xml"/><Relationship Id="rId55" Type="http://schemas.openxmlformats.org/officeDocument/2006/relationships/chart" Target="../charts/chart66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5" Type="http://schemas.openxmlformats.org/officeDocument/2006/relationships/chart" Target="../charts/chart36.xml"/><Relationship Id="rId33" Type="http://schemas.openxmlformats.org/officeDocument/2006/relationships/chart" Target="../charts/chart44.xml"/><Relationship Id="rId38" Type="http://schemas.openxmlformats.org/officeDocument/2006/relationships/chart" Target="../charts/chart49.xml"/><Relationship Id="rId46" Type="http://schemas.openxmlformats.org/officeDocument/2006/relationships/chart" Target="../charts/chart57.xml"/><Relationship Id="rId59" Type="http://schemas.openxmlformats.org/officeDocument/2006/relationships/chart" Target="../charts/chart70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20" Type="http://schemas.openxmlformats.org/officeDocument/2006/relationships/chart" Target="../charts/chart31.xml"/><Relationship Id="rId29" Type="http://schemas.openxmlformats.org/officeDocument/2006/relationships/chart" Target="../charts/chart40.xml"/><Relationship Id="rId41" Type="http://schemas.openxmlformats.org/officeDocument/2006/relationships/chart" Target="../charts/chart52.xml"/><Relationship Id="rId54" Type="http://schemas.openxmlformats.org/officeDocument/2006/relationships/chart" Target="../charts/chart65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24" Type="http://schemas.openxmlformats.org/officeDocument/2006/relationships/chart" Target="../charts/chart35.xml"/><Relationship Id="rId32" Type="http://schemas.openxmlformats.org/officeDocument/2006/relationships/chart" Target="../charts/chart43.xml"/><Relationship Id="rId37" Type="http://schemas.openxmlformats.org/officeDocument/2006/relationships/chart" Target="../charts/chart48.xml"/><Relationship Id="rId40" Type="http://schemas.openxmlformats.org/officeDocument/2006/relationships/chart" Target="../charts/chart51.xml"/><Relationship Id="rId45" Type="http://schemas.openxmlformats.org/officeDocument/2006/relationships/chart" Target="../charts/chart56.xml"/><Relationship Id="rId53" Type="http://schemas.openxmlformats.org/officeDocument/2006/relationships/chart" Target="../charts/chart64.xml"/><Relationship Id="rId58" Type="http://schemas.openxmlformats.org/officeDocument/2006/relationships/chart" Target="../charts/chart69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23" Type="http://schemas.openxmlformats.org/officeDocument/2006/relationships/chart" Target="../charts/chart34.xml"/><Relationship Id="rId28" Type="http://schemas.openxmlformats.org/officeDocument/2006/relationships/chart" Target="../charts/chart39.xml"/><Relationship Id="rId36" Type="http://schemas.openxmlformats.org/officeDocument/2006/relationships/chart" Target="../charts/chart47.xml"/><Relationship Id="rId49" Type="http://schemas.openxmlformats.org/officeDocument/2006/relationships/chart" Target="../charts/chart60.xml"/><Relationship Id="rId57" Type="http://schemas.openxmlformats.org/officeDocument/2006/relationships/chart" Target="../charts/chart68.xml"/><Relationship Id="rId10" Type="http://schemas.openxmlformats.org/officeDocument/2006/relationships/chart" Target="../charts/chart21.xml"/><Relationship Id="rId19" Type="http://schemas.openxmlformats.org/officeDocument/2006/relationships/chart" Target="../charts/chart30.xml"/><Relationship Id="rId31" Type="http://schemas.openxmlformats.org/officeDocument/2006/relationships/chart" Target="../charts/chart42.xml"/><Relationship Id="rId44" Type="http://schemas.openxmlformats.org/officeDocument/2006/relationships/chart" Target="../charts/chart55.xml"/><Relationship Id="rId52" Type="http://schemas.openxmlformats.org/officeDocument/2006/relationships/chart" Target="../charts/chart63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Relationship Id="rId22" Type="http://schemas.openxmlformats.org/officeDocument/2006/relationships/chart" Target="../charts/chart33.xml"/><Relationship Id="rId27" Type="http://schemas.openxmlformats.org/officeDocument/2006/relationships/chart" Target="../charts/chart38.xml"/><Relationship Id="rId30" Type="http://schemas.openxmlformats.org/officeDocument/2006/relationships/chart" Target="../charts/chart41.xml"/><Relationship Id="rId35" Type="http://schemas.openxmlformats.org/officeDocument/2006/relationships/chart" Target="../charts/chart46.xml"/><Relationship Id="rId43" Type="http://schemas.openxmlformats.org/officeDocument/2006/relationships/chart" Target="../charts/chart54.xml"/><Relationship Id="rId48" Type="http://schemas.openxmlformats.org/officeDocument/2006/relationships/chart" Target="../charts/chart59.xml"/><Relationship Id="rId56" Type="http://schemas.openxmlformats.org/officeDocument/2006/relationships/chart" Target="../charts/chart67.xml"/><Relationship Id="rId8" Type="http://schemas.openxmlformats.org/officeDocument/2006/relationships/chart" Target="../charts/chart19.xml"/><Relationship Id="rId51" Type="http://schemas.openxmlformats.org/officeDocument/2006/relationships/chart" Target="../charts/chart62.xml"/><Relationship Id="rId3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2.xml"/><Relationship Id="rId1" Type="http://schemas.openxmlformats.org/officeDocument/2006/relationships/chart" Target="../charts/chart71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0.xml"/><Relationship Id="rId3" Type="http://schemas.openxmlformats.org/officeDocument/2006/relationships/chart" Target="../charts/chart75.xml"/><Relationship Id="rId7" Type="http://schemas.openxmlformats.org/officeDocument/2006/relationships/chart" Target="../charts/chart79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6" Type="http://schemas.openxmlformats.org/officeDocument/2006/relationships/chart" Target="../charts/chart78.xml"/><Relationship Id="rId11" Type="http://schemas.openxmlformats.org/officeDocument/2006/relationships/chart" Target="../charts/chart83.xml"/><Relationship Id="rId5" Type="http://schemas.openxmlformats.org/officeDocument/2006/relationships/chart" Target="../charts/chart77.xml"/><Relationship Id="rId10" Type="http://schemas.openxmlformats.org/officeDocument/2006/relationships/chart" Target="../charts/chart82.xml"/><Relationship Id="rId4" Type="http://schemas.openxmlformats.org/officeDocument/2006/relationships/chart" Target="../charts/chart76.xml"/><Relationship Id="rId9" Type="http://schemas.openxmlformats.org/officeDocument/2006/relationships/chart" Target="../charts/chart8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971550</xdr:colOff>
      <xdr:row>0</xdr:row>
      <xdr:rowOff>133350</xdr:rowOff>
    </xdr:from>
    <xdr:to>
      <xdr:col>7</xdr:col>
      <xdr:colOff>371475</xdr:colOff>
      <xdr:row>13</xdr:row>
      <xdr:rowOff>114300</xdr:rowOff>
    </xdr:to>
    <xdr:sp macro="" textlink="">
      <xdr:nvSpPr>
        <xdr:cNvPr id="53249" name="Text Box 1"/>
        <xdr:cNvSpPr txBox="1">
          <a:spLocks noChangeArrowheads="1"/>
        </xdr:cNvSpPr>
      </xdr:nvSpPr>
      <xdr:spPr bwMode="auto">
        <a:xfrm>
          <a:off x="3333750" y="133350"/>
          <a:ext cx="4143375" cy="2085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400" b="1" i="0" strike="noStrike">
              <a:solidFill>
                <a:srgbClr val="000000"/>
              </a:solidFill>
              <a:latin typeface="Arial"/>
              <a:cs typeface="Arial"/>
            </a:rPr>
            <a:t>ONLY CHANGE FIELDS HIGHLIGHTED IN YELLOW!!!!</a:t>
          </a:r>
        </a:p>
        <a:p>
          <a:pPr algn="l" rtl="0">
            <a:defRPr sz="1000"/>
          </a:pPr>
          <a:r>
            <a:rPr lang="en-US" sz="1400" b="1" i="0" strike="noStrike">
              <a:solidFill>
                <a:srgbClr val="000000"/>
              </a:solidFill>
              <a:latin typeface="Arial"/>
              <a:cs typeface="Arial"/>
            </a:rPr>
            <a:t>Don't Move Cells!!</a:t>
          </a:r>
        </a:p>
        <a:p>
          <a:pPr algn="l" rtl="0">
            <a:defRPr sz="1000"/>
          </a:pPr>
          <a:endParaRPr lang="en-US" sz="14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400" b="1" i="0" strike="noStrike">
              <a:solidFill>
                <a:srgbClr val="000000"/>
              </a:solidFill>
              <a:latin typeface="Arial"/>
              <a:cs typeface="Arial"/>
            </a:rPr>
            <a:t>DON'T CHANGE FILEDS HIGHLIGHTED IN RED!</a:t>
          </a:r>
        </a:p>
        <a:p>
          <a:pPr algn="l" rtl="0">
            <a:defRPr sz="1000"/>
          </a:pPr>
          <a:endParaRPr lang="en-US" sz="14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400" b="1" i="0" strike="noStrike">
              <a:solidFill>
                <a:srgbClr val="000000"/>
              </a:solidFill>
              <a:latin typeface="Arial"/>
              <a:cs typeface="Arial"/>
            </a:rPr>
            <a:t>Shannon Calay</a:t>
          </a:r>
        </a:p>
        <a:p>
          <a:pPr algn="l" rtl="0">
            <a:defRPr sz="1000"/>
          </a:pPr>
          <a:r>
            <a:rPr lang="en-US" sz="1400" b="1" i="0" strike="noStrike">
              <a:solidFill>
                <a:srgbClr val="000000"/>
              </a:solidFill>
              <a:latin typeface="Arial"/>
              <a:cs typeface="Arial"/>
            </a:rPr>
            <a:t>May 22, 2006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368300</xdr:colOff>
      <xdr:row>30</xdr:row>
      <xdr:rowOff>12700</xdr:rowOff>
    </xdr:from>
    <xdr:to>
      <xdr:col>19</xdr:col>
      <xdr:colOff>492125</xdr:colOff>
      <xdr:row>53</xdr:row>
      <xdr:rowOff>60325</xdr:rowOff>
    </xdr:to>
    <xdr:graphicFrame macro="">
      <xdr:nvGraphicFramePr>
        <xdr:cNvPr id="1741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584200</xdr:colOff>
      <xdr:row>30</xdr:row>
      <xdr:rowOff>0</xdr:rowOff>
    </xdr:from>
    <xdr:to>
      <xdr:col>29</xdr:col>
      <xdr:colOff>495300</xdr:colOff>
      <xdr:row>53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520700</xdr:colOff>
      <xdr:row>6</xdr:row>
      <xdr:rowOff>76200</xdr:rowOff>
    </xdr:from>
    <xdr:to>
      <xdr:col>29</xdr:col>
      <xdr:colOff>482600</xdr:colOff>
      <xdr:row>29</xdr:row>
      <xdr:rowOff>25400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190500</xdr:colOff>
      <xdr:row>6</xdr:row>
      <xdr:rowOff>25400</xdr:rowOff>
    </xdr:from>
    <xdr:to>
      <xdr:col>19</xdr:col>
      <xdr:colOff>533400</xdr:colOff>
      <xdr:row>29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517525</xdr:colOff>
      <xdr:row>4</xdr:row>
      <xdr:rowOff>133350</xdr:rowOff>
    </xdr:from>
    <xdr:to>
      <xdr:col>25</xdr:col>
      <xdr:colOff>317500</xdr:colOff>
      <xdr:row>29</xdr:row>
      <xdr:rowOff>15875</xdr:rowOff>
    </xdr:to>
    <xdr:graphicFrame macro="">
      <xdr:nvGraphicFramePr>
        <xdr:cNvPr id="18442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368300</xdr:colOff>
      <xdr:row>4</xdr:row>
      <xdr:rowOff>127000</xdr:rowOff>
    </xdr:from>
    <xdr:to>
      <xdr:col>15</xdr:col>
      <xdr:colOff>355600</xdr:colOff>
      <xdr:row>30</xdr:row>
      <xdr:rowOff>76200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50800</xdr:colOff>
      <xdr:row>31</xdr:row>
      <xdr:rowOff>12700</xdr:rowOff>
    </xdr:from>
    <xdr:to>
      <xdr:col>15</xdr:col>
      <xdr:colOff>254000</xdr:colOff>
      <xdr:row>54</xdr:row>
      <xdr:rowOff>25400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47</xdr:row>
      <xdr:rowOff>0</xdr:rowOff>
    </xdr:from>
    <xdr:to>
      <xdr:col>9</xdr:col>
      <xdr:colOff>400050</xdr:colOff>
      <xdr:row>71</xdr:row>
      <xdr:rowOff>38100</xdr:rowOff>
    </xdr:to>
    <xdr:graphicFrame macro="">
      <xdr:nvGraphicFramePr>
        <xdr:cNvPr id="194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409575</xdr:colOff>
      <xdr:row>47</xdr:row>
      <xdr:rowOff>28575</xdr:rowOff>
    </xdr:from>
    <xdr:to>
      <xdr:col>19</xdr:col>
      <xdr:colOff>209550</xdr:colOff>
      <xdr:row>71</xdr:row>
      <xdr:rowOff>76200</xdr:rowOff>
    </xdr:to>
    <xdr:graphicFrame macro="">
      <xdr:nvGraphicFramePr>
        <xdr:cNvPr id="1945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88900</xdr:colOff>
      <xdr:row>3</xdr:row>
      <xdr:rowOff>98425</xdr:rowOff>
    </xdr:from>
    <xdr:to>
      <xdr:col>12</xdr:col>
      <xdr:colOff>533400</xdr:colOff>
      <xdr:row>27</xdr:row>
      <xdr:rowOff>136525</xdr:rowOff>
    </xdr:to>
    <xdr:graphicFrame macro="">
      <xdr:nvGraphicFramePr>
        <xdr:cNvPr id="2048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555625</xdr:colOff>
      <xdr:row>3</xdr:row>
      <xdr:rowOff>111125</xdr:rowOff>
    </xdr:from>
    <xdr:to>
      <xdr:col>21</xdr:col>
      <xdr:colOff>400050</xdr:colOff>
      <xdr:row>27</xdr:row>
      <xdr:rowOff>158750</xdr:rowOff>
    </xdr:to>
    <xdr:graphicFrame macro="">
      <xdr:nvGraphicFramePr>
        <xdr:cNvPr id="2048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46</xdr:row>
      <xdr:rowOff>28575</xdr:rowOff>
    </xdr:from>
    <xdr:to>
      <xdr:col>12</xdr:col>
      <xdr:colOff>533400</xdr:colOff>
      <xdr:row>64</xdr:row>
      <xdr:rowOff>133350</xdr:rowOff>
    </xdr:to>
    <xdr:graphicFrame macro="">
      <xdr:nvGraphicFramePr>
        <xdr:cNvPr id="21511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161925</xdr:colOff>
      <xdr:row>84</xdr:row>
      <xdr:rowOff>19050</xdr:rowOff>
    </xdr:from>
    <xdr:to>
      <xdr:col>12</xdr:col>
      <xdr:colOff>523875</xdr:colOff>
      <xdr:row>102</xdr:row>
      <xdr:rowOff>104775</xdr:rowOff>
    </xdr:to>
    <xdr:graphicFrame macro="">
      <xdr:nvGraphicFramePr>
        <xdr:cNvPr id="21512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161925</xdr:colOff>
      <xdr:row>65</xdr:row>
      <xdr:rowOff>28575</xdr:rowOff>
    </xdr:from>
    <xdr:to>
      <xdr:col>12</xdr:col>
      <xdr:colOff>533400</xdr:colOff>
      <xdr:row>83</xdr:row>
      <xdr:rowOff>123825</xdr:rowOff>
    </xdr:to>
    <xdr:graphicFrame macro="">
      <xdr:nvGraphicFramePr>
        <xdr:cNvPr id="21538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157843</xdr:colOff>
      <xdr:row>45</xdr:row>
      <xdr:rowOff>151040</xdr:rowOff>
    </xdr:from>
    <xdr:to>
      <xdr:col>18</xdr:col>
      <xdr:colOff>532039</xdr:colOff>
      <xdr:row>64</xdr:row>
      <xdr:rowOff>92529</xdr:rowOff>
    </xdr:to>
    <xdr:graphicFrame macro="">
      <xdr:nvGraphicFramePr>
        <xdr:cNvPr id="21540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144236</xdr:colOff>
      <xdr:row>83</xdr:row>
      <xdr:rowOff>91167</xdr:rowOff>
    </xdr:from>
    <xdr:to>
      <xdr:col>18</xdr:col>
      <xdr:colOff>508907</xdr:colOff>
      <xdr:row>102</xdr:row>
      <xdr:rowOff>13606</xdr:rowOff>
    </xdr:to>
    <xdr:graphicFrame macro="">
      <xdr:nvGraphicFramePr>
        <xdr:cNvPr id="21541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152400</xdr:colOff>
      <xdr:row>64</xdr:row>
      <xdr:rowOff>123825</xdr:rowOff>
    </xdr:from>
    <xdr:to>
      <xdr:col>18</xdr:col>
      <xdr:colOff>523875</xdr:colOff>
      <xdr:row>83</xdr:row>
      <xdr:rowOff>57150</xdr:rowOff>
    </xdr:to>
    <xdr:graphicFrame macro="">
      <xdr:nvGraphicFramePr>
        <xdr:cNvPr id="21542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87086</xdr:colOff>
      <xdr:row>46</xdr:row>
      <xdr:rowOff>6803</xdr:rowOff>
    </xdr:from>
    <xdr:to>
      <xdr:col>24</xdr:col>
      <xdr:colOff>461282</xdr:colOff>
      <xdr:row>64</xdr:row>
      <xdr:rowOff>111578</xdr:rowOff>
    </xdr:to>
    <xdr:graphicFrame macro="">
      <xdr:nvGraphicFramePr>
        <xdr:cNvPr id="21544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114300</xdr:colOff>
      <xdr:row>83</xdr:row>
      <xdr:rowOff>110217</xdr:rowOff>
    </xdr:from>
    <xdr:to>
      <xdr:col>24</xdr:col>
      <xdr:colOff>478971</xdr:colOff>
      <xdr:row>102</xdr:row>
      <xdr:rowOff>32656</xdr:rowOff>
    </xdr:to>
    <xdr:graphicFrame macro="">
      <xdr:nvGraphicFramePr>
        <xdr:cNvPr id="21545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95250</xdr:colOff>
      <xdr:row>64</xdr:row>
      <xdr:rowOff>142875</xdr:rowOff>
    </xdr:from>
    <xdr:to>
      <xdr:col>24</xdr:col>
      <xdr:colOff>466725</xdr:colOff>
      <xdr:row>83</xdr:row>
      <xdr:rowOff>76200</xdr:rowOff>
    </xdr:to>
    <xdr:graphicFrame macro="">
      <xdr:nvGraphicFramePr>
        <xdr:cNvPr id="21546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552450</xdr:colOff>
      <xdr:row>46</xdr:row>
      <xdr:rowOff>2721</xdr:rowOff>
    </xdr:from>
    <xdr:to>
      <xdr:col>30</xdr:col>
      <xdr:colOff>311603</xdr:colOff>
      <xdr:row>64</xdr:row>
      <xdr:rowOff>108856</xdr:rowOff>
    </xdr:to>
    <xdr:graphicFrame macro="">
      <xdr:nvGraphicFramePr>
        <xdr:cNvPr id="21548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579664</xdr:colOff>
      <xdr:row>83</xdr:row>
      <xdr:rowOff>119742</xdr:rowOff>
    </xdr:from>
    <xdr:to>
      <xdr:col>30</xdr:col>
      <xdr:colOff>329292</xdr:colOff>
      <xdr:row>102</xdr:row>
      <xdr:rowOff>42181</xdr:rowOff>
    </xdr:to>
    <xdr:graphicFrame macro="">
      <xdr:nvGraphicFramePr>
        <xdr:cNvPr id="21549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30</xdr:col>
      <xdr:colOff>390525</xdr:colOff>
      <xdr:row>46</xdr:row>
      <xdr:rowOff>19050</xdr:rowOff>
    </xdr:from>
    <xdr:to>
      <xdr:col>36</xdr:col>
      <xdr:colOff>152400</xdr:colOff>
      <xdr:row>64</xdr:row>
      <xdr:rowOff>133350</xdr:rowOff>
    </xdr:to>
    <xdr:graphicFrame macro="">
      <xdr:nvGraphicFramePr>
        <xdr:cNvPr id="21552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30</xdr:col>
      <xdr:colOff>409575</xdr:colOff>
      <xdr:row>83</xdr:row>
      <xdr:rowOff>152400</xdr:rowOff>
    </xdr:from>
    <xdr:to>
      <xdr:col>36</xdr:col>
      <xdr:colOff>161925</xdr:colOff>
      <xdr:row>102</xdr:row>
      <xdr:rowOff>66675</xdr:rowOff>
    </xdr:to>
    <xdr:graphicFrame macro="">
      <xdr:nvGraphicFramePr>
        <xdr:cNvPr id="21553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30</xdr:col>
      <xdr:colOff>390525</xdr:colOff>
      <xdr:row>65</xdr:row>
      <xdr:rowOff>9525</xdr:rowOff>
    </xdr:from>
    <xdr:to>
      <xdr:col>36</xdr:col>
      <xdr:colOff>152400</xdr:colOff>
      <xdr:row>83</xdr:row>
      <xdr:rowOff>104775</xdr:rowOff>
    </xdr:to>
    <xdr:graphicFrame macro="">
      <xdr:nvGraphicFramePr>
        <xdr:cNvPr id="21554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36</xdr:col>
      <xdr:colOff>390525</xdr:colOff>
      <xdr:row>45</xdr:row>
      <xdr:rowOff>133350</xdr:rowOff>
    </xdr:from>
    <xdr:to>
      <xdr:col>42</xdr:col>
      <xdr:colOff>152400</xdr:colOff>
      <xdr:row>64</xdr:row>
      <xdr:rowOff>76200</xdr:rowOff>
    </xdr:to>
    <xdr:graphicFrame macro="">
      <xdr:nvGraphicFramePr>
        <xdr:cNvPr id="21556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36</xdr:col>
      <xdr:colOff>438150</xdr:colOff>
      <xdr:row>84</xdr:row>
      <xdr:rowOff>114300</xdr:rowOff>
    </xdr:from>
    <xdr:to>
      <xdr:col>42</xdr:col>
      <xdr:colOff>190500</xdr:colOff>
      <xdr:row>103</xdr:row>
      <xdr:rowOff>57150</xdr:rowOff>
    </xdr:to>
    <xdr:graphicFrame macro="">
      <xdr:nvGraphicFramePr>
        <xdr:cNvPr id="21557" name="Chart 5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36</xdr:col>
      <xdr:colOff>409575</xdr:colOff>
      <xdr:row>65</xdr:row>
      <xdr:rowOff>66675</xdr:rowOff>
    </xdr:from>
    <xdr:to>
      <xdr:col>42</xdr:col>
      <xdr:colOff>171450</xdr:colOff>
      <xdr:row>84</xdr:row>
      <xdr:rowOff>19050</xdr:rowOff>
    </xdr:to>
    <xdr:graphicFrame macro="">
      <xdr:nvGraphicFramePr>
        <xdr:cNvPr id="21558" name="Chart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42</xdr:col>
      <xdr:colOff>361950</xdr:colOff>
      <xdr:row>46</xdr:row>
      <xdr:rowOff>0</xdr:rowOff>
    </xdr:from>
    <xdr:to>
      <xdr:col>48</xdr:col>
      <xdr:colOff>123825</xdr:colOff>
      <xdr:row>64</xdr:row>
      <xdr:rowOff>85725</xdr:rowOff>
    </xdr:to>
    <xdr:graphicFrame macro="">
      <xdr:nvGraphicFramePr>
        <xdr:cNvPr id="21560" name="Chart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42</xdr:col>
      <xdr:colOff>361950</xdr:colOff>
      <xdr:row>84</xdr:row>
      <xdr:rowOff>123825</xdr:rowOff>
    </xdr:from>
    <xdr:to>
      <xdr:col>48</xdr:col>
      <xdr:colOff>114300</xdr:colOff>
      <xdr:row>103</xdr:row>
      <xdr:rowOff>47625</xdr:rowOff>
    </xdr:to>
    <xdr:graphicFrame macro="">
      <xdr:nvGraphicFramePr>
        <xdr:cNvPr id="21561" name="Chart 5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42</xdr:col>
      <xdr:colOff>381000</xdr:colOff>
      <xdr:row>65</xdr:row>
      <xdr:rowOff>28575</xdr:rowOff>
    </xdr:from>
    <xdr:to>
      <xdr:col>48</xdr:col>
      <xdr:colOff>142875</xdr:colOff>
      <xdr:row>83</xdr:row>
      <xdr:rowOff>123825</xdr:rowOff>
    </xdr:to>
    <xdr:graphicFrame macro="">
      <xdr:nvGraphicFramePr>
        <xdr:cNvPr id="21562" name="Chart 5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48</xdr:col>
      <xdr:colOff>304800</xdr:colOff>
      <xdr:row>45</xdr:row>
      <xdr:rowOff>66675</xdr:rowOff>
    </xdr:from>
    <xdr:to>
      <xdr:col>54</xdr:col>
      <xdr:colOff>66675</xdr:colOff>
      <xdr:row>64</xdr:row>
      <xdr:rowOff>9525</xdr:rowOff>
    </xdr:to>
    <xdr:graphicFrame macro="">
      <xdr:nvGraphicFramePr>
        <xdr:cNvPr id="21564" name="Chart 6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48</xdr:col>
      <xdr:colOff>352425</xdr:colOff>
      <xdr:row>85</xdr:row>
      <xdr:rowOff>47625</xdr:rowOff>
    </xdr:from>
    <xdr:to>
      <xdr:col>54</xdr:col>
      <xdr:colOff>104775</xdr:colOff>
      <xdr:row>103</xdr:row>
      <xdr:rowOff>114300</xdr:rowOff>
    </xdr:to>
    <xdr:graphicFrame macro="">
      <xdr:nvGraphicFramePr>
        <xdr:cNvPr id="21565" name="Chart 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48</xdr:col>
      <xdr:colOff>276225</xdr:colOff>
      <xdr:row>65</xdr:row>
      <xdr:rowOff>0</xdr:rowOff>
    </xdr:from>
    <xdr:to>
      <xdr:col>54</xdr:col>
      <xdr:colOff>38100</xdr:colOff>
      <xdr:row>83</xdr:row>
      <xdr:rowOff>95250</xdr:rowOff>
    </xdr:to>
    <xdr:graphicFrame macro="">
      <xdr:nvGraphicFramePr>
        <xdr:cNvPr id="21566" name="Chart 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54</xdr:col>
      <xdr:colOff>173181</xdr:colOff>
      <xdr:row>45</xdr:row>
      <xdr:rowOff>105641</xdr:rowOff>
    </xdr:from>
    <xdr:to>
      <xdr:col>59</xdr:col>
      <xdr:colOff>544657</xdr:colOff>
      <xdr:row>64</xdr:row>
      <xdr:rowOff>39832</xdr:rowOff>
    </xdr:to>
    <xdr:graphicFrame macro="">
      <xdr:nvGraphicFramePr>
        <xdr:cNvPr id="21568" name="Chart 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54</xdr:col>
      <xdr:colOff>238125</xdr:colOff>
      <xdr:row>85</xdr:row>
      <xdr:rowOff>43296</xdr:rowOff>
    </xdr:from>
    <xdr:to>
      <xdr:col>59</xdr:col>
      <xdr:colOff>600076</xdr:colOff>
      <xdr:row>103</xdr:row>
      <xdr:rowOff>109971</xdr:rowOff>
    </xdr:to>
    <xdr:graphicFrame macro="">
      <xdr:nvGraphicFramePr>
        <xdr:cNvPr id="21569" name="Chart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54</xdr:col>
      <xdr:colOff>144607</xdr:colOff>
      <xdr:row>64</xdr:row>
      <xdr:rowOff>116898</xdr:rowOff>
    </xdr:from>
    <xdr:to>
      <xdr:col>59</xdr:col>
      <xdr:colOff>512619</xdr:colOff>
      <xdr:row>83</xdr:row>
      <xdr:rowOff>69272</xdr:rowOff>
    </xdr:to>
    <xdr:graphicFrame macro="">
      <xdr:nvGraphicFramePr>
        <xdr:cNvPr id="21570" name="Chart 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60</xdr:col>
      <xdr:colOff>162791</xdr:colOff>
      <xdr:row>85</xdr:row>
      <xdr:rowOff>50223</xdr:rowOff>
    </xdr:from>
    <xdr:to>
      <xdr:col>65</xdr:col>
      <xdr:colOff>534266</xdr:colOff>
      <xdr:row>103</xdr:row>
      <xdr:rowOff>116898</xdr:rowOff>
    </xdr:to>
    <xdr:graphicFrame macro="">
      <xdr:nvGraphicFramePr>
        <xdr:cNvPr id="21573" name="Chart 6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60</xdr:col>
      <xdr:colOff>143741</xdr:colOff>
      <xdr:row>64</xdr:row>
      <xdr:rowOff>102177</xdr:rowOff>
    </xdr:from>
    <xdr:to>
      <xdr:col>65</xdr:col>
      <xdr:colOff>502227</xdr:colOff>
      <xdr:row>83</xdr:row>
      <xdr:rowOff>35501</xdr:rowOff>
    </xdr:to>
    <xdr:graphicFrame macro="">
      <xdr:nvGraphicFramePr>
        <xdr:cNvPr id="21574" name="Chart 7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66</xdr:col>
      <xdr:colOff>71871</xdr:colOff>
      <xdr:row>45</xdr:row>
      <xdr:rowOff>76201</xdr:rowOff>
    </xdr:from>
    <xdr:to>
      <xdr:col>71</xdr:col>
      <xdr:colOff>420832</xdr:colOff>
      <xdr:row>64</xdr:row>
      <xdr:rowOff>28575</xdr:rowOff>
    </xdr:to>
    <xdr:graphicFrame macro="">
      <xdr:nvGraphicFramePr>
        <xdr:cNvPr id="21575" name="Chart 7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66</xdr:col>
      <xdr:colOff>96116</xdr:colOff>
      <xdr:row>85</xdr:row>
      <xdr:rowOff>25976</xdr:rowOff>
    </xdr:from>
    <xdr:to>
      <xdr:col>71</xdr:col>
      <xdr:colOff>458065</xdr:colOff>
      <xdr:row>103</xdr:row>
      <xdr:rowOff>111702</xdr:rowOff>
    </xdr:to>
    <xdr:graphicFrame macro="">
      <xdr:nvGraphicFramePr>
        <xdr:cNvPr id="21577" name="Chart 7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66</xdr:col>
      <xdr:colOff>96117</xdr:colOff>
      <xdr:row>65</xdr:row>
      <xdr:rowOff>4329</xdr:rowOff>
    </xdr:from>
    <xdr:to>
      <xdr:col>71</xdr:col>
      <xdr:colOff>454603</xdr:colOff>
      <xdr:row>83</xdr:row>
      <xdr:rowOff>108238</xdr:rowOff>
    </xdr:to>
    <xdr:graphicFrame macro="">
      <xdr:nvGraphicFramePr>
        <xdr:cNvPr id="21578" name="Chart 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71</xdr:col>
      <xdr:colOff>555913</xdr:colOff>
      <xdr:row>45</xdr:row>
      <xdr:rowOff>114300</xdr:rowOff>
    </xdr:from>
    <xdr:to>
      <xdr:col>77</xdr:col>
      <xdr:colOff>311727</xdr:colOff>
      <xdr:row>64</xdr:row>
      <xdr:rowOff>47624</xdr:rowOff>
    </xdr:to>
    <xdr:graphicFrame macro="">
      <xdr:nvGraphicFramePr>
        <xdr:cNvPr id="21581" name="Chart 7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71</xdr:col>
      <xdr:colOff>596611</xdr:colOff>
      <xdr:row>85</xdr:row>
      <xdr:rowOff>31172</xdr:rowOff>
    </xdr:from>
    <xdr:to>
      <xdr:col>77</xdr:col>
      <xdr:colOff>352425</xdr:colOff>
      <xdr:row>103</xdr:row>
      <xdr:rowOff>97848</xdr:rowOff>
    </xdr:to>
    <xdr:graphicFrame macro="">
      <xdr:nvGraphicFramePr>
        <xdr:cNvPr id="21583" name="Chart 7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71</xdr:col>
      <xdr:colOff>555914</xdr:colOff>
      <xdr:row>65</xdr:row>
      <xdr:rowOff>47625</xdr:rowOff>
    </xdr:from>
    <xdr:to>
      <xdr:col>77</xdr:col>
      <xdr:colOff>321253</xdr:colOff>
      <xdr:row>84</xdr:row>
      <xdr:rowOff>0</xdr:rowOff>
    </xdr:to>
    <xdr:graphicFrame macro="">
      <xdr:nvGraphicFramePr>
        <xdr:cNvPr id="21584" name="Chart 8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77</xdr:col>
      <xdr:colOff>397452</xdr:colOff>
      <xdr:row>45</xdr:row>
      <xdr:rowOff>100445</xdr:rowOff>
    </xdr:from>
    <xdr:to>
      <xdr:col>83</xdr:col>
      <xdr:colOff>159328</xdr:colOff>
      <xdr:row>64</xdr:row>
      <xdr:rowOff>62345</xdr:rowOff>
    </xdr:to>
    <xdr:graphicFrame macro="">
      <xdr:nvGraphicFramePr>
        <xdr:cNvPr id="21586" name="Chart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77</xdr:col>
      <xdr:colOff>419099</xdr:colOff>
      <xdr:row>85</xdr:row>
      <xdr:rowOff>57150</xdr:rowOff>
    </xdr:from>
    <xdr:to>
      <xdr:col>83</xdr:col>
      <xdr:colOff>171450</xdr:colOff>
      <xdr:row>103</xdr:row>
      <xdr:rowOff>123825</xdr:rowOff>
    </xdr:to>
    <xdr:graphicFrame macro="">
      <xdr:nvGraphicFramePr>
        <xdr:cNvPr id="21587" name="Chart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77</xdr:col>
      <xdr:colOff>420832</xdr:colOff>
      <xdr:row>65</xdr:row>
      <xdr:rowOff>96116</xdr:rowOff>
    </xdr:from>
    <xdr:to>
      <xdr:col>83</xdr:col>
      <xdr:colOff>195695</xdr:colOff>
      <xdr:row>84</xdr:row>
      <xdr:rowOff>20781</xdr:rowOff>
    </xdr:to>
    <xdr:graphicFrame macro="">
      <xdr:nvGraphicFramePr>
        <xdr:cNvPr id="21588" name="Chart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83</xdr:col>
      <xdr:colOff>238991</xdr:colOff>
      <xdr:row>45</xdr:row>
      <xdr:rowOff>77932</xdr:rowOff>
    </xdr:from>
    <xdr:to>
      <xdr:col>89</xdr:col>
      <xdr:colOff>866</xdr:colOff>
      <xdr:row>64</xdr:row>
      <xdr:rowOff>20782</xdr:rowOff>
    </xdr:to>
    <xdr:graphicFrame macro="">
      <xdr:nvGraphicFramePr>
        <xdr:cNvPr id="21590" name="Chart 8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83</xdr:col>
      <xdr:colOff>260639</xdr:colOff>
      <xdr:row>85</xdr:row>
      <xdr:rowOff>58882</xdr:rowOff>
    </xdr:from>
    <xdr:to>
      <xdr:col>89</xdr:col>
      <xdr:colOff>12989</xdr:colOff>
      <xdr:row>103</xdr:row>
      <xdr:rowOff>134217</xdr:rowOff>
    </xdr:to>
    <xdr:graphicFrame macro="">
      <xdr:nvGraphicFramePr>
        <xdr:cNvPr id="21591" name="Chart 8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83</xdr:col>
      <xdr:colOff>253711</xdr:colOff>
      <xdr:row>65</xdr:row>
      <xdr:rowOff>76200</xdr:rowOff>
    </xdr:from>
    <xdr:to>
      <xdr:col>89</xdr:col>
      <xdr:colOff>15587</xdr:colOff>
      <xdr:row>84</xdr:row>
      <xdr:rowOff>9525</xdr:rowOff>
    </xdr:to>
    <xdr:graphicFrame macro="">
      <xdr:nvGraphicFramePr>
        <xdr:cNvPr id="21592" name="Chart 8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89</xdr:col>
      <xdr:colOff>113434</xdr:colOff>
      <xdr:row>45</xdr:row>
      <xdr:rowOff>130752</xdr:rowOff>
    </xdr:from>
    <xdr:to>
      <xdr:col>94</xdr:col>
      <xdr:colOff>481445</xdr:colOff>
      <xdr:row>64</xdr:row>
      <xdr:rowOff>73602</xdr:rowOff>
    </xdr:to>
    <xdr:graphicFrame macro="">
      <xdr:nvGraphicFramePr>
        <xdr:cNvPr id="21594" name="Chart 9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89</xdr:col>
      <xdr:colOff>135082</xdr:colOff>
      <xdr:row>85</xdr:row>
      <xdr:rowOff>68407</xdr:rowOff>
    </xdr:from>
    <xdr:to>
      <xdr:col>94</xdr:col>
      <xdr:colOff>493568</xdr:colOff>
      <xdr:row>103</xdr:row>
      <xdr:rowOff>143742</xdr:rowOff>
    </xdr:to>
    <xdr:graphicFrame macro="">
      <xdr:nvGraphicFramePr>
        <xdr:cNvPr id="21595" name="Chart 9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89</xdr:col>
      <xdr:colOff>81395</xdr:colOff>
      <xdr:row>65</xdr:row>
      <xdr:rowOff>107373</xdr:rowOff>
    </xdr:from>
    <xdr:to>
      <xdr:col>94</xdr:col>
      <xdr:colOff>452870</xdr:colOff>
      <xdr:row>84</xdr:row>
      <xdr:rowOff>40698</xdr:rowOff>
    </xdr:to>
    <xdr:graphicFrame macro="">
      <xdr:nvGraphicFramePr>
        <xdr:cNvPr id="21596" name="Chart 9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94</xdr:col>
      <xdr:colOff>589684</xdr:colOff>
      <xdr:row>46</xdr:row>
      <xdr:rowOff>6928</xdr:rowOff>
    </xdr:from>
    <xdr:to>
      <xdr:col>100</xdr:col>
      <xdr:colOff>351559</xdr:colOff>
      <xdr:row>64</xdr:row>
      <xdr:rowOff>111703</xdr:rowOff>
    </xdr:to>
    <xdr:graphicFrame macro="">
      <xdr:nvGraphicFramePr>
        <xdr:cNvPr id="21598" name="Chart 9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95</xdr:col>
      <xdr:colOff>26842</xdr:colOff>
      <xdr:row>85</xdr:row>
      <xdr:rowOff>52820</xdr:rowOff>
    </xdr:from>
    <xdr:to>
      <xdr:col>100</xdr:col>
      <xdr:colOff>385329</xdr:colOff>
      <xdr:row>103</xdr:row>
      <xdr:rowOff>138546</xdr:rowOff>
    </xdr:to>
    <xdr:graphicFrame macro="">
      <xdr:nvGraphicFramePr>
        <xdr:cNvPr id="21599" name="Chart 9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94</xdr:col>
      <xdr:colOff>579292</xdr:colOff>
      <xdr:row>65</xdr:row>
      <xdr:rowOff>80530</xdr:rowOff>
    </xdr:from>
    <xdr:to>
      <xdr:col>100</xdr:col>
      <xdr:colOff>344631</xdr:colOff>
      <xdr:row>84</xdr:row>
      <xdr:rowOff>13855</xdr:rowOff>
    </xdr:to>
    <xdr:graphicFrame macro="">
      <xdr:nvGraphicFramePr>
        <xdr:cNvPr id="21600" name="Chart 9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100</xdr:col>
      <xdr:colOff>568037</xdr:colOff>
      <xdr:row>45</xdr:row>
      <xdr:rowOff>151533</xdr:rowOff>
    </xdr:from>
    <xdr:to>
      <xdr:col>106</xdr:col>
      <xdr:colOff>329911</xdr:colOff>
      <xdr:row>64</xdr:row>
      <xdr:rowOff>104774</xdr:rowOff>
    </xdr:to>
    <xdr:graphicFrame macro="">
      <xdr:nvGraphicFramePr>
        <xdr:cNvPr id="21602" name="Chart 9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100</xdr:col>
      <xdr:colOff>589685</xdr:colOff>
      <xdr:row>85</xdr:row>
      <xdr:rowOff>77930</xdr:rowOff>
    </xdr:from>
    <xdr:to>
      <xdr:col>106</xdr:col>
      <xdr:colOff>342034</xdr:colOff>
      <xdr:row>104</xdr:row>
      <xdr:rowOff>1731</xdr:rowOff>
    </xdr:to>
    <xdr:graphicFrame macro="">
      <xdr:nvGraphicFramePr>
        <xdr:cNvPr id="21603" name="Chart 9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100</xdr:col>
      <xdr:colOff>535998</xdr:colOff>
      <xdr:row>66</xdr:row>
      <xdr:rowOff>30307</xdr:rowOff>
    </xdr:from>
    <xdr:to>
      <xdr:col>106</xdr:col>
      <xdr:colOff>301336</xdr:colOff>
      <xdr:row>84</xdr:row>
      <xdr:rowOff>115166</xdr:rowOff>
    </xdr:to>
    <xdr:graphicFrame macro="">
      <xdr:nvGraphicFramePr>
        <xdr:cNvPr id="21604" name="Chart 10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106</xdr:col>
      <xdr:colOff>497897</xdr:colOff>
      <xdr:row>46</xdr:row>
      <xdr:rowOff>25110</xdr:rowOff>
    </xdr:from>
    <xdr:to>
      <xdr:col>112</xdr:col>
      <xdr:colOff>259772</xdr:colOff>
      <xdr:row>64</xdr:row>
      <xdr:rowOff>119494</xdr:rowOff>
    </xdr:to>
    <xdr:graphicFrame macro="">
      <xdr:nvGraphicFramePr>
        <xdr:cNvPr id="21606" name="Chart 10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106</xdr:col>
      <xdr:colOff>541193</xdr:colOff>
      <xdr:row>85</xdr:row>
      <xdr:rowOff>71003</xdr:rowOff>
    </xdr:from>
    <xdr:to>
      <xdr:col>112</xdr:col>
      <xdr:colOff>297007</xdr:colOff>
      <xdr:row>103</xdr:row>
      <xdr:rowOff>146338</xdr:rowOff>
    </xdr:to>
    <xdr:graphicFrame macro="">
      <xdr:nvGraphicFramePr>
        <xdr:cNvPr id="21607" name="Chart 10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106</xdr:col>
      <xdr:colOff>490971</xdr:colOff>
      <xdr:row>66</xdr:row>
      <xdr:rowOff>23379</xdr:rowOff>
    </xdr:from>
    <xdr:to>
      <xdr:col>112</xdr:col>
      <xdr:colOff>252846</xdr:colOff>
      <xdr:row>84</xdr:row>
      <xdr:rowOff>108238</xdr:rowOff>
    </xdr:to>
    <xdr:graphicFrame macro="">
      <xdr:nvGraphicFramePr>
        <xdr:cNvPr id="21608" name="Chart 10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112</xdr:col>
      <xdr:colOff>426892</xdr:colOff>
      <xdr:row>85</xdr:row>
      <xdr:rowOff>116897</xdr:rowOff>
    </xdr:from>
    <xdr:to>
      <xdr:col>118</xdr:col>
      <xdr:colOff>179243</xdr:colOff>
      <xdr:row>104</xdr:row>
      <xdr:rowOff>40698</xdr:rowOff>
    </xdr:to>
    <xdr:graphicFrame macro="">
      <xdr:nvGraphicFramePr>
        <xdr:cNvPr id="21611" name="Chart 10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112</xdr:col>
      <xdr:colOff>398318</xdr:colOff>
      <xdr:row>66</xdr:row>
      <xdr:rowOff>47624</xdr:rowOff>
    </xdr:from>
    <xdr:to>
      <xdr:col>118</xdr:col>
      <xdr:colOff>160193</xdr:colOff>
      <xdr:row>84</xdr:row>
      <xdr:rowOff>142874</xdr:rowOff>
    </xdr:to>
    <xdr:graphicFrame macro="">
      <xdr:nvGraphicFramePr>
        <xdr:cNvPr id="21612" name="Chart 10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118</xdr:col>
      <xdr:colOff>294409</xdr:colOff>
      <xdr:row>46</xdr:row>
      <xdr:rowOff>65809</xdr:rowOff>
    </xdr:from>
    <xdr:to>
      <xdr:col>124</xdr:col>
      <xdr:colOff>59748</xdr:colOff>
      <xdr:row>65</xdr:row>
      <xdr:rowOff>8659</xdr:rowOff>
    </xdr:to>
    <xdr:graphicFrame macro="">
      <xdr:nvGraphicFramePr>
        <xdr:cNvPr id="21614" name="Chart 1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118</xdr:col>
      <xdr:colOff>337705</xdr:colOff>
      <xdr:row>85</xdr:row>
      <xdr:rowOff>111702</xdr:rowOff>
    </xdr:from>
    <xdr:to>
      <xdr:col>124</xdr:col>
      <xdr:colOff>93519</xdr:colOff>
      <xdr:row>104</xdr:row>
      <xdr:rowOff>35503</xdr:rowOff>
    </xdr:to>
    <xdr:graphicFrame macro="">
      <xdr:nvGraphicFramePr>
        <xdr:cNvPr id="21615" name="Chart 1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118</xdr:col>
      <xdr:colOff>352425</xdr:colOff>
      <xdr:row>66</xdr:row>
      <xdr:rowOff>85725</xdr:rowOff>
    </xdr:from>
    <xdr:to>
      <xdr:col>124</xdr:col>
      <xdr:colOff>114300</xdr:colOff>
      <xdr:row>85</xdr:row>
      <xdr:rowOff>19050</xdr:rowOff>
    </xdr:to>
    <xdr:graphicFrame macro="">
      <xdr:nvGraphicFramePr>
        <xdr:cNvPr id="21616" name="Chart 1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60</xdr:col>
      <xdr:colOff>173182</xdr:colOff>
      <xdr:row>45</xdr:row>
      <xdr:rowOff>108239</xdr:rowOff>
    </xdr:from>
    <xdr:to>
      <xdr:col>65</xdr:col>
      <xdr:colOff>544657</xdr:colOff>
      <xdr:row>64</xdr:row>
      <xdr:rowOff>42430</xdr:rowOff>
    </xdr:to>
    <xdr:graphicFrame macro="">
      <xdr:nvGraphicFramePr>
        <xdr:cNvPr id="82" name="Chart 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24</xdr:col>
      <xdr:colOff>508000</xdr:colOff>
      <xdr:row>65</xdr:row>
      <xdr:rowOff>15875</xdr:rowOff>
    </xdr:from>
    <xdr:to>
      <xdr:col>30</xdr:col>
      <xdr:colOff>366686</xdr:colOff>
      <xdr:row>83</xdr:row>
      <xdr:rowOff>65641</xdr:rowOff>
    </xdr:to>
    <xdr:graphicFrame macro="">
      <xdr:nvGraphicFramePr>
        <xdr:cNvPr id="61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367392</xdr:colOff>
      <xdr:row>452</xdr:row>
      <xdr:rowOff>95250</xdr:rowOff>
    </xdr:from>
    <xdr:to>
      <xdr:col>9</xdr:col>
      <xdr:colOff>129267</xdr:colOff>
      <xdr:row>471</xdr:row>
      <xdr:rowOff>26349</xdr:rowOff>
    </xdr:to>
    <xdr:graphicFrame macro="">
      <xdr:nvGraphicFramePr>
        <xdr:cNvPr id="2" name="Chart 10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571500</xdr:colOff>
      <xdr:row>115</xdr:row>
      <xdr:rowOff>2723</xdr:rowOff>
    </xdr:from>
    <xdr:to>
      <xdr:col>5</xdr:col>
      <xdr:colOff>333375</xdr:colOff>
      <xdr:row>133</xdr:row>
      <xdr:rowOff>99333</xdr:rowOff>
    </xdr:to>
    <xdr:graphicFrame macro="">
      <xdr:nvGraphicFramePr>
        <xdr:cNvPr id="3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202991</xdr:colOff>
      <xdr:row>18</xdr:row>
      <xdr:rowOff>140532</xdr:rowOff>
    </xdr:from>
    <xdr:to>
      <xdr:col>18</xdr:col>
      <xdr:colOff>507791</xdr:colOff>
      <xdr:row>35</xdr:row>
      <xdr:rowOff>136784</xdr:rowOff>
    </xdr:to>
    <xdr:graphicFrame macro="">
      <xdr:nvGraphicFramePr>
        <xdr:cNvPr id="27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202991</xdr:colOff>
      <xdr:row>36</xdr:row>
      <xdr:rowOff>140532</xdr:rowOff>
    </xdr:from>
    <xdr:to>
      <xdr:col>18</xdr:col>
      <xdr:colOff>507791</xdr:colOff>
      <xdr:row>53</xdr:row>
      <xdr:rowOff>136784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202991</xdr:colOff>
      <xdr:row>54</xdr:row>
      <xdr:rowOff>140532</xdr:rowOff>
    </xdr:from>
    <xdr:to>
      <xdr:col>18</xdr:col>
      <xdr:colOff>507791</xdr:colOff>
      <xdr:row>71</xdr:row>
      <xdr:rowOff>136785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187377</xdr:colOff>
      <xdr:row>90</xdr:row>
      <xdr:rowOff>124916</xdr:rowOff>
    </xdr:from>
    <xdr:to>
      <xdr:col>18</xdr:col>
      <xdr:colOff>492177</xdr:colOff>
      <xdr:row>107</xdr:row>
      <xdr:rowOff>121169</xdr:rowOff>
    </xdr:to>
    <xdr:graphicFrame macro="">
      <xdr:nvGraphicFramePr>
        <xdr:cNvPr id="32" name="Chart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124917</xdr:colOff>
      <xdr:row>126</xdr:row>
      <xdr:rowOff>62458</xdr:rowOff>
    </xdr:from>
    <xdr:to>
      <xdr:col>18</xdr:col>
      <xdr:colOff>429717</xdr:colOff>
      <xdr:row>143</xdr:row>
      <xdr:rowOff>52933</xdr:rowOff>
    </xdr:to>
    <xdr:graphicFrame macro="">
      <xdr:nvGraphicFramePr>
        <xdr:cNvPr id="34" name="Chart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15615</xdr:colOff>
      <xdr:row>918</xdr:row>
      <xdr:rowOff>31230</xdr:rowOff>
    </xdr:from>
    <xdr:to>
      <xdr:col>19</xdr:col>
      <xdr:colOff>327910</xdr:colOff>
      <xdr:row>935</xdr:row>
      <xdr:rowOff>124918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900</xdr:row>
      <xdr:rowOff>0</xdr:rowOff>
    </xdr:from>
    <xdr:to>
      <xdr:col>19</xdr:col>
      <xdr:colOff>312295</xdr:colOff>
      <xdr:row>917</xdr:row>
      <xdr:rowOff>93688</xdr:rowOff>
    </xdr:to>
    <xdr:graphicFrame macro="">
      <xdr:nvGraphicFramePr>
        <xdr:cNvPr id="31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258089</xdr:colOff>
      <xdr:row>450</xdr:row>
      <xdr:rowOff>17178</xdr:rowOff>
    </xdr:from>
    <xdr:to>
      <xdr:col>14</xdr:col>
      <xdr:colOff>19964</xdr:colOff>
      <xdr:row>468</xdr:row>
      <xdr:rowOff>104424</xdr:rowOff>
    </xdr:to>
    <xdr:graphicFrame macro="">
      <xdr:nvGraphicFramePr>
        <xdr:cNvPr id="18" name="Chart 10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171762</xdr:colOff>
      <xdr:row>1</xdr:row>
      <xdr:rowOff>0</xdr:rowOff>
    </xdr:from>
    <xdr:to>
      <xdr:col>18</xdr:col>
      <xdr:colOff>484057</xdr:colOff>
      <xdr:row>18</xdr:row>
      <xdr:rowOff>93689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202993</xdr:colOff>
      <xdr:row>72</xdr:row>
      <xdr:rowOff>31229</xdr:rowOff>
    </xdr:from>
    <xdr:to>
      <xdr:col>18</xdr:col>
      <xdr:colOff>515288</xdr:colOff>
      <xdr:row>89</xdr:row>
      <xdr:rowOff>124917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140533</xdr:colOff>
      <xdr:row>108</xdr:row>
      <xdr:rowOff>46845</xdr:rowOff>
    </xdr:from>
    <xdr:to>
      <xdr:col>18</xdr:col>
      <xdr:colOff>452828</xdr:colOff>
      <xdr:row>125</xdr:row>
      <xdr:rowOff>140533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E5:G13"/>
  <sheetViews>
    <sheetView workbookViewId="0">
      <selection activeCell="F12" sqref="F12"/>
    </sheetView>
  </sheetViews>
  <sheetFormatPr defaultRowHeight="12.75"/>
  <sheetData>
    <row r="5" spans="5:7" ht="15.75">
      <c r="E5" s="4" t="s">
        <v>60</v>
      </c>
    </row>
    <row r="13" spans="5:7" ht="18">
      <c r="G13" s="3"/>
    </row>
  </sheetData>
  <phoneticPr fontId="1" type="noConversion"/>
  <pageMargins left="0.75" right="0.75" top="1" bottom="1" header="0.5" footer="0.5"/>
  <pageSetup paperSize="170" orientation="portrait" r:id="rId1"/>
  <headerFooter alignWithMargins="0"/>
  <legacyDrawing r:id="rId2"/>
  <controls>
    <control shapeId="6149" r:id="rId3" name="LoadVBA2BOX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5"/>
  <dimension ref="A1:J57"/>
  <sheetViews>
    <sheetView workbookViewId="0">
      <selection activeCell="C7" sqref="C7"/>
    </sheetView>
  </sheetViews>
  <sheetFormatPr defaultRowHeight="12.75"/>
  <cols>
    <col min="1" max="1" width="19.140625" customWidth="1"/>
    <col min="2" max="2" width="16.28515625" customWidth="1"/>
    <col min="3" max="3" width="15.140625" customWidth="1"/>
    <col min="4" max="4" width="5.5703125" customWidth="1"/>
    <col min="5" max="5" width="16.7109375" customWidth="1"/>
    <col min="6" max="6" width="17" customWidth="1"/>
    <col min="7" max="7" width="16.7109375" customWidth="1"/>
    <col min="9" max="9" width="16.85546875" customWidth="1"/>
    <col min="10" max="10" width="19.7109375" customWidth="1"/>
  </cols>
  <sheetData>
    <row r="1" spans="1:10">
      <c r="A1" s="6" t="s">
        <v>47</v>
      </c>
      <c r="B1" s="1">
        <v>1970</v>
      </c>
    </row>
    <row r="2" spans="1:10">
      <c r="A2" s="6" t="s">
        <v>1</v>
      </c>
      <c r="B2" s="1">
        <v>2006</v>
      </c>
    </row>
    <row r="3" spans="1:10">
      <c r="A3" s="6" t="s">
        <v>48</v>
      </c>
      <c r="B3" s="5">
        <f>B2-B1+1</f>
        <v>37</v>
      </c>
    </row>
    <row r="4" spans="1:10">
      <c r="A4" s="6"/>
    </row>
    <row r="5" spans="1:10">
      <c r="A5" s="6" t="s">
        <v>49</v>
      </c>
      <c r="B5" s="1">
        <v>0</v>
      </c>
    </row>
    <row r="6" spans="1:10">
      <c r="A6" s="6" t="s">
        <v>50</v>
      </c>
      <c r="B6" s="1">
        <v>5</v>
      </c>
    </row>
    <row r="7" spans="1:10">
      <c r="A7" s="6" t="s">
        <v>51</v>
      </c>
      <c r="B7" s="1">
        <v>5</v>
      </c>
      <c r="I7" s="2" t="s">
        <v>52</v>
      </c>
    </row>
    <row r="8" spans="1:10">
      <c r="A8" s="6"/>
      <c r="I8" s="5" t="str">
        <f>$B$11</f>
        <v>ATL</v>
      </c>
      <c r="J8" s="1" t="s">
        <v>53</v>
      </c>
    </row>
    <row r="9" spans="1:10">
      <c r="A9" s="6" t="s">
        <v>67</v>
      </c>
      <c r="B9" s="1">
        <v>1</v>
      </c>
      <c r="I9" s="5" t="str">
        <f>$B$11</f>
        <v>ATL</v>
      </c>
      <c r="J9" s="1" t="s">
        <v>57</v>
      </c>
    </row>
    <row r="10" spans="1:10">
      <c r="A10" s="6" t="s">
        <v>41</v>
      </c>
      <c r="I10" s="5" t="str">
        <f t="shared" ref="I10:I15" si="0">$B$11</f>
        <v>ATL</v>
      </c>
      <c r="J10" s="1" t="s">
        <v>54</v>
      </c>
    </row>
    <row r="11" spans="1:10">
      <c r="A11" s="6" t="s">
        <v>42</v>
      </c>
      <c r="B11" s="12" t="s">
        <v>122</v>
      </c>
      <c r="I11" s="5" t="str">
        <f t="shared" si="0"/>
        <v>ATL</v>
      </c>
      <c r="J11" s="1" t="s">
        <v>58</v>
      </c>
    </row>
    <row r="12" spans="1:10">
      <c r="A12" s="6" t="s">
        <v>43</v>
      </c>
      <c r="B12" s="1"/>
      <c r="I12" s="5" t="str">
        <f t="shared" si="0"/>
        <v>ATL</v>
      </c>
      <c r="J12" s="1" t="s">
        <v>55</v>
      </c>
    </row>
    <row r="13" spans="1:10">
      <c r="A13" s="6"/>
      <c r="I13" s="5" t="str">
        <f t="shared" si="0"/>
        <v>ATL</v>
      </c>
      <c r="J13" s="1" t="s">
        <v>59</v>
      </c>
    </row>
    <row r="14" spans="1:10">
      <c r="A14" s="6" t="s">
        <v>44</v>
      </c>
      <c r="I14" s="5" t="str">
        <f t="shared" si="0"/>
        <v>ATL</v>
      </c>
      <c r="J14" s="1" t="s">
        <v>37</v>
      </c>
    </row>
    <row r="15" spans="1:10">
      <c r="A15" t="s">
        <v>45</v>
      </c>
      <c r="B15" t="s">
        <v>3</v>
      </c>
      <c r="C15" t="s">
        <v>46</v>
      </c>
      <c r="E15" t="s">
        <v>45</v>
      </c>
      <c r="F15" t="s">
        <v>3</v>
      </c>
      <c r="G15" t="s">
        <v>46</v>
      </c>
      <c r="I15" s="5" t="str">
        <f t="shared" si="0"/>
        <v>ATL</v>
      </c>
      <c r="J15" s="1" t="s">
        <v>56</v>
      </c>
    </row>
    <row r="16" spans="1:10">
      <c r="A16">
        <v>1</v>
      </c>
      <c r="B16" s="5" t="str">
        <f>$B$11</f>
        <v>ATL</v>
      </c>
      <c r="C16" s="11" t="s">
        <v>106</v>
      </c>
      <c r="E16">
        <f>A16</f>
        <v>1</v>
      </c>
      <c r="F16" s="5"/>
      <c r="G16" s="1"/>
      <c r="I16" s="5"/>
      <c r="J16" s="1"/>
    </row>
    <row r="17" spans="1:10">
      <c r="A17">
        <v>2</v>
      </c>
      <c r="B17" s="5" t="str">
        <f t="shared" ref="B17:B35" si="1">$B$11</f>
        <v>ATL</v>
      </c>
      <c r="C17" s="11" t="s">
        <v>105</v>
      </c>
      <c r="E17">
        <f t="shared" ref="E17:E35" si="2">A17</f>
        <v>2</v>
      </c>
      <c r="F17" s="5"/>
      <c r="G17" s="1"/>
      <c r="I17" s="5" t="str">
        <f>IF($B$9=1,"NONE",$B$12)</f>
        <v>NONE</v>
      </c>
      <c r="J17" s="1" t="s">
        <v>53</v>
      </c>
    </row>
    <row r="18" spans="1:10">
      <c r="A18">
        <v>3</v>
      </c>
      <c r="B18" s="5" t="str">
        <f t="shared" si="1"/>
        <v>ATL</v>
      </c>
      <c r="C18" s="11" t="s">
        <v>107</v>
      </c>
      <c r="E18">
        <f t="shared" si="2"/>
        <v>3</v>
      </c>
      <c r="F18" s="5"/>
      <c r="G18" s="1"/>
      <c r="I18" s="5" t="str">
        <f t="shared" ref="I18:I24" si="3">IF($B$9=1,"NONE",$B$12)</f>
        <v>NONE</v>
      </c>
      <c r="J18" s="1" t="s">
        <v>57</v>
      </c>
    </row>
    <row r="19" spans="1:10">
      <c r="A19">
        <v>4</v>
      </c>
      <c r="B19" s="5" t="str">
        <f t="shared" si="1"/>
        <v>ATL</v>
      </c>
      <c r="C19" s="11" t="s">
        <v>108</v>
      </c>
      <c r="E19">
        <f t="shared" si="2"/>
        <v>4</v>
      </c>
      <c r="F19" s="5"/>
      <c r="G19" s="1"/>
      <c r="I19" s="5" t="str">
        <f t="shared" si="3"/>
        <v>NONE</v>
      </c>
      <c r="J19" s="1" t="s">
        <v>54</v>
      </c>
    </row>
    <row r="20" spans="1:10">
      <c r="A20">
        <v>5</v>
      </c>
      <c r="B20" s="5" t="str">
        <f t="shared" si="1"/>
        <v>ATL</v>
      </c>
      <c r="C20" s="11" t="s">
        <v>109</v>
      </c>
      <c r="E20">
        <f t="shared" si="2"/>
        <v>5</v>
      </c>
      <c r="F20" s="5"/>
      <c r="G20" s="1"/>
      <c r="I20" s="5" t="str">
        <f t="shared" si="3"/>
        <v>NONE</v>
      </c>
      <c r="J20" s="1" t="s">
        <v>58</v>
      </c>
    </row>
    <row r="21" spans="1:10">
      <c r="A21">
        <v>6</v>
      </c>
      <c r="B21" s="5" t="str">
        <f t="shared" si="1"/>
        <v>ATL</v>
      </c>
      <c r="C21" s="11" t="s">
        <v>110</v>
      </c>
      <c r="E21">
        <f t="shared" si="2"/>
        <v>6</v>
      </c>
      <c r="F21" s="5"/>
      <c r="G21" s="1"/>
      <c r="I21" s="5" t="str">
        <f t="shared" si="3"/>
        <v>NONE</v>
      </c>
      <c r="J21" s="1" t="s">
        <v>55</v>
      </c>
    </row>
    <row r="22" spans="1:10">
      <c r="A22">
        <v>7</v>
      </c>
      <c r="B22" s="5" t="str">
        <f t="shared" si="1"/>
        <v>ATL</v>
      </c>
      <c r="C22" s="11" t="s">
        <v>111</v>
      </c>
      <c r="E22">
        <f t="shared" si="2"/>
        <v>7</v>
      </c>
      <c r="F22" s="5"/>
      <c r="G22" s="1"/>
      <c r="I22" s="5" t="str">
        <f t="shared" si="3"/>
        <v>NONE</v>
      </c>
      <c r="J22" s="1" t="s">
        <v>59</v>
      </c>
    </row>
    <row r="23" spans="1:10">
      <c r="A23">
        <v>8</v>
      </c>
      <c r="B23" s="5" t="str">
        <f t="shared" si="1"/>
        <v>ATL</v>
      </c>
      <c r="C23" s="11" t="s">
        <v>112</v>
      </c>
      <c r="E23">
        <f t="shared" si="2"/>
        <v>8</v>
      </c>
      <c r="F23" s="5"/>
      <c r="G23" s="1"/>
      <c r="I23" s="5" t="str">
        <f t="shared" si="3"/>
        <v>NONE</v>
      </c>
      <c r="J23" s="1" t="s">
        <v>37</v>
      </c>
    </row>
    <row r="24" spans="1:10">
      <c r="A24">
        <v>9</v>
      </c>
      <c r="B24" s="5" t="str">
        <f t="shared" si="1"/>
        <v>ATL</v>
      </c>
      <c r="C24" s="11" t="s">
        <v>113</v>
      </c>
      <c r="E24">
        <f t="shared" si="2"/>
        <v>9</v>
      </c>
      <c r="F24" s="5"/>
      <c r="G24" s="1"/>
      <c r="I24" s="5" t="str">
        <f t="shared" si="3"/>
        <v>NONE</v>
      </c>
      <c r="J24" s="1" t="s">
        <v>56</v>
      </c>
    </row>
    <row r="25" spans="1:10">
      <c r="A25">
        <v>10</v>
      </c>
      <c r="B25" s="5" t="str">
        <f t="shared" si="1"/>
        <v>ATL</v>
      </c>
      <c r="C25" s="11" t="s">
        <v>114</v>
      </c>
      <c r="E25">
        <f t="shared" si="2"/>
        <v>10</v>
      </c>
      <c r="F25" s="5"/>
      <c r="G25" s="1"/>
    </row>
    <row r="26" spans="1:10">
      <c r="A26">
        <v>11</v>
      </c>
      <c r="B26" s="5" t="str">
        <f t="shared" si="1"/>
        <v>ATL</v>
      </c>
      <c r="C26" s="11" t="s">
        <v>115</v>
      </c>
      <c r="E26">
        <f t="shared" si="2"/>
        <v>11</v>
      </c>
      <c r="F26" s="5"/>
      <c r="G26" s="1"/>
      <c r="J26" s="5" t="s">
        <v>62</v>
      </c>
    </row>
    <row r="27" spans="1:10">
      <c r="A27">
        <v>12</v>
      </c>
      <c r="B27" s="5" t="str">
        <f t="shared" si="1"/>
        <v>ATL</v>
      </c>
      <c r="C27" s="11" t="s">
        <v>116</v>
      </c>
      <c r="E27">
        <f t="shared" si="2"/>
        <v>12</v>
      </c>
      <c r="F27" s="5"/>
      <c r="G27" s="1"/>
      <c r="J27" s="5" t="s">
        <v>63</v>
      </c>
    </row>
    <row r="28" spans="1:10">
      <c r="A28">
        <v>13</v>
      </c>
      <c r="B28" s="5" t="str">
        <f t="shared" si="1"/>
        <v>ATL</v>
      </c>
      <c r="C28" s="11" t="s">
        <v>117</v>
      </c>
      <c r="E28">
        <f t="shared" si="2"/>
        <v>13</v>
      </c>
      <c r="F28" s="5"/>
      <c r="G28" s="1"/>
      <c r="J28" s="5" t="s">
        <v>64</v>
      </c>
    </row>
    <row r="29" spans="1:10">
      <c r="A29">
        <v>14</v>
      </c>
      <c r="B29" s="5" t="str">
        <f t="shared" si="1"/>
        <v>ATL</v>
      </c>
      <c r="C29" s="11" t="s">
        <v>118</v>
      </c>
      <c r="E29">
        <f t="shared" si="2"/>
        <v>14</v>
      </c>
      <c r="F29" s="5"/>
      <c r="G29" s="1"/>
      <c r="J29" s="5" t="s">
        <v>65</v>
      </c>
    </row>
    <row r="30" spans="1:10">
      <c r="A30">
        <v>15</v>
      </c>
      <c r="B30" s="5" t="str">
        <f t="shared" si="1"/>
        <v>ATL</v>
      </c>
      <c r="C30" s="11" t="s">
        <v>119</v>
      </c>
      <c r="E30">
        <f t="shared" si="2"/>
        <v>15</v>
      </c>
      <c r="F30" s="5"/>
      <c r="G30" s="1"/>
      <c r="J30" s="5" t="s">
        <v>66</v>
      </c>
    </row>
    <row r="31" spans="1:10">
      <c r="A31">
        <v>16</v>
      </c>
      <c r="B31" s="5" t="str">
        <f t="shared" si="1"/>
        <v>ATL</v>
      </c>
      <c r="C31" s="11" t="s">
        <v>120</v>
      </c>
      <c r="E31">
        <f t="shared" si="2"/>
        <v>16</v>
      </c>
      <c r="F31" s="5"/>
      <c r="G31" s="1"/>
    </row>
    <row r="32" spans="1:10">
      <c r="A32">
        <v>17</v>
      </c>
      <c r="B32" s="5" t="str">
        <f t="shared" si="1"/>
        <v>ATL</v>
      </c>
      <c r="C32" s="11" t="s">
        <v>121</v>
      </c>
      <c r="E32">
        <f t="shared" si="2"/>
        <v>17</v>
      </c>
      <c r="F32" s="5"/>
      <c r="G32" s="1"/>
    </row>
    <row r="33" spans="1:8">
      <c r="A33">
        <v>18</v>
      </c>
      <c r="B33" s="5" t="str">
        <f t="shared" si="1"/>
        <v>ATL</v>
      </c>
      <c r="C33" s="11" t="s">
        <v>121</v>
      </c>
      <c r="E33">
        <f t="shared" si="2"/>
        <v>18</v>
      </c>
      <c r="F33" s="5"/>
      <c r="G33" s="1"/>
    </row>
    <row r="34" spans="1:8">
      <c r="A34">
        <v>19</v>
      </c>
      <c r="B34" s="5" t="str">
        <f t="shared" si="1"/>
        <v>ATL</v>
      </c>
      <c r="C34" s="11" t="s">
        <v>121</v>
      </c>
      <c r="E34">
        <f t="shared" si="2"/>
        <v>19</v>
      </c>
      <c r="F34" s="5"/>
      <c r="G34" s="1"/>
    </row>
    <row r="35" spans="1:8">
      <c r="A35">
        <v>20</v>
      </c>
      <c r="B35" s="5" t="str">
        <f t="shared" si="1"/>
        <v>ATL</v>
      </c>
      <c r="C35" s="11" t="s">
        <v>121</v>
      </c>
      <c r="E35">
        <f t="shared" si="2"/>
        <v>20</v>
      </c>
      <c r="F35" s="5"/>
      <c r="G35" s="1"/>
    </row>
    <row r="38" spans="1:8" ht="13.5">
      <c r="A38" s="7"/>
      <c r="B38" s="7"/>
      <c r="C38" s="7"/>
      <c r="D38" s="7"/>
      <c r="E38" s="7"/>
      <c r="F38" s="7"/>
      <c r="G38" s="7"/>
      <c r="H38" s="7"/>
    </row>
    <row r="39" spans="1:8" ht="13.5">
      <c r="A39" s="7"/>
      <c r="B39" s="7"/>
      <c r="C39" s="7"/>
      <c r="D39" s="7"/>
      <c r="E39" s="7"/>
      <c r="F39" s="7"/>
      <c r="G39" s="7"/>
      <c r="H39" s="7"/>
    </row>
    <row r="40" spans="1:8" ht="13.5">
      <c r="A40" s="7"/>
      <c r="B40" s="7"/>
      <c r="C40" s="7"/>
      <c r="D40" s="7"/>
      <c r="E40" s="7"/>
      <c r="F40" s="7"/>
      <c r="G40" s="7"/>
      <c r="H40" s="7"/>
    </row>
    <row r="41" spans="1:8" ht="13.5">
      <c r="A41" s="7"/>
      <c r="B41" s="7"/>
      <c r="C41" s="7"/>
      <c r="D41" s="7"/>
      <c r="E41" s="7"/>
      <c r="F41" s="7"/>
      <c r="G41" s="7"/>
      <c r="H41" s="7"/>
    </row>
    <row r="42" spans="1:8" ht="13.5">
      <c r="A42" s="7"/>
      <c r="B42" s="7"/>
      <c r="C42" s="7"/>
      <c r="D42" s="7"/>
      <c r="E42" s="7"/>
      <c r="F42" s="7"/>
      <c r="G42" s="7"/>
      <c r="H42" s="7"/>
    </row>
    <row r="43" spans="1:8" ht="13.5">
      <c r="A43" s="7"/>
      <c r="B43" s="7"/>
      <c r="C43" s="7"/>
      <c r="D43" s="7"/>
      <c r="E43" s="7"/>
      <c r="F43" s="7"/>
      <c r="G43" s="7"/>
      <c r="H43" s="7"/>
    </row>
    <row r="44" spans="1:8" ht="13.5">
      <c r="A44" s="7"/>
      <c r="B44" s="7"/>
      <c r="C44" s="7"/>
      <c r="D44" s="7"/>
      <c r="E44" s="7"/>
      <c r="F44" s="7"/>
      <c r="G44" s="7"/>
      <c r="H44" s="7"/>
    </row>
    <row r="45" spans="1:8" ht="13.5">
      <c r="A45" s="7"/>
      <c r="B45" s="7"/>
      <c r="C45" s="7"/>
      <c r="D45" s="7"/>
      <c r="E45" s="7"/>
      <c r="F45" s="7"/>
      <c r="G45" s="7"/>
      <c r="H45" s="7"/>
    </row>
    <row r="46" spans="1:8" ht="13.5">
      <c r="A46" s="7"/>
      <c r="B46" s="7"/>
      <c r="C46" s="7"/>
      <c r="D46" s="7"/>
      <c r="E46" s="7"/>
      <c r="F46" s="7"/>
      <c r="G46" s="7"/>
      <c r="H46" s="7"/>
    </row>
    <row r="47" spans="1:8" ht="13.5">
      <c r="A47" s="7"/>
      <c r="B47" s="7"/>
      <c r="C47" s="7"/>
      <c r="D47" s="7"/>
      <c r="E47" s="7"/>
      <c r="F47" s="7"/>
      <c r="G47" s="7"/>
      <c r="H47" s="7"/>
    </row>
    <row r="48" spans="1:8" ht="13.5">
      <c r="A48" s="7"/>
      <c r="B48" s="7"/>
      <c r="C48" s="7"/>
      <c r="D48" s="7"/>
      <c r="E48" s="7"/>
      <c r="F48" s="7"/>
      <c r="G48" s="7"/>
      <c r="H48" s="7"/>
    </row>
    <row r="49" spans="1:8" ht="13.5">
      <c r="A49" s="7"/>
      <c r="B49" s="7"/>
      <c r="C49" s="7"/>
      <c r="D49" s="7"/>
      <c r="E49" s="7"/>
      <c r="F49" s="7"/>
      <c r="G49" s="7"/>
      <c r="H49" s="7"/>
    </row>
    <row r="50" spans="1:8" ht="13.5">
      <c r="A50" s="7"/>
      <c r="B50" s="7"/>
      <c r="C50" s="7"/>
      <c r="D50" s="7"/>
      <c r="E50" s="7"/>
      <c r="F50" s="7"/>
      <c r="G50" s="7"/>
      <c r="H50" s="7"/>
    </row>
    <row r="51" spans="1:8" ht="13.5">
      <c r="A51" s="7"/>
      <c r="B51" s="7"/>
      <c r="C51" s="7"/>
      <c r="D51" s="7"/>
      <c r="E51" s="7"/>
      <c r="F51" s="7"/>
      <c r="G51" s="7"/>
      <c r="H51" s="7"/>
    </row>
    <row r="52" spans="1:8" ht="13.5">
      <c r="A52" s="7"/>
      <c r="B52" s="7"/>
      <c r="C52" s="7"/>
      <c r="D52" s="7"/>
      <c r="E52" s="7"/>
      <c r="F52" s="7"/>
      <c r="G52" s="7"/>
      <c r="H52" s="7"/>
    </row>
    <row r="53" spans="1:8" ht="13.5">
      <c r="A53" s="7"/>
      <c r="B53" s="7"/>
      <c r="C53" s="7"/>
      <c r="D53" s="7"/>
      <c r="E53" s="7"/>
      <c r="F53" s="7"/>
      <c r="G53" s="7"/>
      <c r="H53" s="7"/>
    </row>
    <row r="54" spans="1:8" ht="13.5">
      <c r="A54" s="7"/>
      <c r="B54" s="7"/>
      <c r="C54" s="7"/>
      <c r="D54" s="7"/>
      <c r="E54" s="7"/>
      <c r="F54" s="7"/>
      <c r="G54" s="7"/>
      <c r="H54" s="7"/>
    </row>
    <row r="55" spans="1:8" ht="13.5">
      <c r="A55" s="7"/>
      <c r="B55" s="7"/>
      <c r="C55" s="7"/>
      <c r="D55" s="7"/>
      <c r="E55" s="7"/>
      <c r="F55" s="7"/>
      <c r="G55" s="7"/>
      <c r="H55" s="7"/>
    </row>
    <row r="56" spans="1:8" ht="13.5">
      <c r="A56" s="7"/>
    </row>
    <row r="57" spans="1:8">
      <c r="H57" s="8"/>
    </row>
  </sheetData>
  <phoneticPr fontId="1" type="noConversion"/>
  <pageMargins left="0.75" right="0.75" top="1" bottom="1" header="0.5" footer="0.5"/>
  <pageSetup paperSize="170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/>
  <dimension ref="A1:AJ100"/>
  <sheetViews>
    <sheetView tabSelected="1" topLeftCell="A7" zoomScale="75" workbookViewId="0">
      <selection activeCell="H19" sqref="H19"/>
    </sheetView>
  </sheetViews>
  <sheetFormatPr defaultRowHeight="12.75"/>
  <cols>
    <col min="1" max="1" width="19.28515625" customWidth="1"/>
  </cols>
  <sheetData>
    <row r="1" spans="1:36">
      <c r="A1" s="6" t="s">
        <v>125</v>
      </c>
      <c r="B1">
        <f>GEOMEAN(B37:B40)</f>
        <v>0.12945813263023218</v>
      </c>
      <c r="C1">
        <f t="shared" ref="C1:G1" si="0">GEOMEAN(C37:C40)</f>
        <v>0.37917843143214641</v>
      </c>
      <c r="D1">
        <f t="shared" si="0"/>
        <v>0.21751755757977351</v>
      </c>
      <c r="E1">
        <f t="shared" si="0"/>
        <v>0.38868418424822221</v>
      </c>
      <c r="F1">
        <f t="shared" si="0"/>
        <v>0.59728420252082493</v>
      </c>
      <c r="G1">
        <f t="shared" si="0"/>
        <v>0.18407870631745743</v>
      </c>
    </row>
    <row r="2" spans="1:36">
      <c r="A2" t="s">
        <v>2</v>
      </c>
      <c r="D2" t="s">
        <v>3</v>
      </c>
      <c r="E2">
        <v>1</v>
      </c>
    </row>
    <row r="3" spans="1:36">
      <c r="A3" s="6" t="s">
        <v>0</v>
      </c>
      <c r="B3" s="6" t="s">
        <v>124</v>
      </c>
      <c r="C3" s="6" t="s">
        <v>4</v>
      </c>
      <c r="D3" s="6" t="s">
        <v>5</v>
      </c>
      <c r="E3" s="6" t="s">
        <v>6</v>
      </c>
      <c r="F3" s="6" t="s">
        <v>7</v>
      </c>
      <c r="G3" s="6" t="s">
        <v>8</v>
      </c>
      <c r="H3" s="6" t="s">
        <v>9</v>
      </c>
      <c r="I3" s="6" t="s">
        <v>10</v>
      </c>
      <c r="J3" s="6" t="s">
        <v>11</v>
      </c>
      <c r="K3" s="6" t="s">
        <v>12</v>
      </c>
      <c r="L3" s="6" t="s">
        <v>13</v>
      </c>
      <c r="M3" s="6" t="s">
        <v>123</v>
      </c>
      <c r="N3" s="6" t="s">
        <v>14</v>
      </c>
      <c r="O3" s="6" t="s">
        <v>15</v>
      </c>
      <c r="P3" s="6" t="s">
        <v>16</v>
      </c>
      <c r="Q3" s="6" t="s">
        <v>17</v>
      </c>
      <c r="R3" s="6" t="s">
        <v>18</v>
      </c>
      <c r="S3" s="6" t="s">
        <v>19</v>
      </c>
      <c r="T3" s="6" t="s">
        <v>20</v>
      </c>
      <c r="U3" s="6" t="s">
        <v>21</v>
      </c>
      <c r="V3" s="6" t="s">
        <v>22</v>
      </c>
      <c r="W3" s="6" t="s">
        <v>23</v>
      </c>
      <c r="X3" s="6" t="s">
        <v>24</v>
      </c>
      <c r="Y3" s="6" t="s">
        <v>25</v>
      </c>
      <c r="Z3" s="6" t="s">
        <v>26</v>
      </c>
      <c r="AA3" s="6" t="s">
        <v>27</v>
      </c>
      <c r="AB3" s="6" t="s">
        <v>28</v>
      </c>
      <c r="AC3" s="6" t="s">
        <v>29</v>
      </c>
      <c r="AD3" s="6" t="s">
        <v>30</v>
      </c>
      <c r="AE3" s="6" t="s">
        <v>31</v>
      </c>
      <c r="AF3" t="s">
        <v>38</v>
      </c>
      <c r="AG3" s="6" t="s">
        <v>74</v>
      </c>
      <c r="AH3" s="6" t="s">
        <v>75</v>
      </c>
      <c r="AI3" s="6" t="s">
        <v>76</v>
      </c>
      <c r="AJ3" s="6" t="s">
        <v>77</v>
      </c>
    </row>
    <row r="4" spans="1:36">
      <c r="A4">
        <v>1970</v>
      </c>
      <c r="B4">
        <v>8.0000000000000002E-3</v>
      </c>
      <c r="C4">
        <v>0.114</v>
      </c>
      <c r="D4">
        <v>8.2000000000000003E-2</v>
      </c>
      <c r="E4">
        <v>0.14000000000000001</v>
      </c>
      <c r="F4">
        <v>0.152</v>
      </c>
      <c r="G4">
        <v>3.4000000000000002E-2</v>
      </c>
      <c r="AF4">
        <f>IF(B4&gt;0,MAX(B4:AE4),"")</f>
        <v>0.152</v>
      </c>
      <c r="AG4" s="9">
        <f>G4/F4</f>
        <v>0.22368421052631582</v>
      </c>
    </row>
    <row r="5" spans="1:36">
      <c r="A5">
        <v>1971</v>
      </c>
      <c r="B5">
        <v>8.0000000000000002E-3</v>
      </c>
      <c r="C5">
        <v>0.107</v>
      </c>
      <c r="D5">
        <v>0.154</v>
      </c>
      <c r="E5">
        <v>0.129</v>
      </c>
      <c r="F5">
        <v>0.13200000000000001</v>
      </c>
      <c r="G5">
        <v>0.03</v>
      </c>
      <c r="AF5">
        <f t="shared" ref="AF5:AF68" si="1">IF(B5&gt;0,MAX(B5:AE5),"")</f>
        <v>0.154</v>
      </c>
      <c r="AG5" s="9">
        <f t="shared" ref="AG5:AG40" si="2">G5/F5</f>
        <v>0.22727272727272727</v>
      </c>
    </row>
    <row r="6" spans="1:36">
      <c r="A6">
        <v>1972</v>
      </c>
      <c r="B6">
        <v>0.01</v>
      </c>
      <c r="C6">
        <v>0.114</v>
      </c>
      <c r="D6">
        <v>0.189</v>
      </c>
      <c r="E6">
        <v>0.20399999999999999</v>
      </c>
      <c r="F6">
        <v>0.16700000000000001</v>
      </c>
      <c r="G6">
        <v>3.7999999999999999E-2</v>
      </c>
      <c r="AF6">
        <f t="shared" si="1"/>
        <v>0.20399999999999999</v>
      </c>
      <c r="AG6" s="9">
        <f t="shared" si="2"/>
        <v>0.22754491017964071</v>
      </c>
    </row>
    <row r="7" spans="1:36">
      <c r="A7">
        <v>1973</v>
      </c>
      <c r="B7">
        <v>6.0000000000000001E-3</v>
      </c>
      <c r="C7">
        <v>0.10100000000000001</v>
      </c>
      <c r="D7">
        <v>0.16200000000000001</v>
      </c>
      <c r="E7">
        <v>0.23100000000000001</v>
      </c>
      <c r="F7">
        <v>0.216</v>
      </c>
      <c r="G7">
        <v>4.9000000000000002E-2</v>
      </c>
      <c r="AF7">
        <f t="shared" si="1"/>
        <v>0.23100000000000001</v>
      </c>
      <c r="AG7" s="9">
        <f t="shared" si="2"/>
        <v>0.22685185185185186</v>
      </c>
    </row>
    <row r="8" spans="1:36">
      <c r="A8">
        <v>1974</v>
      </c>
      <c r="B8">
        <v>0.02</v>
      </c>
      <c r="C8">
        <v>0.14799999999999999</v>
      </c>
      <c r="D8">
        <v>0.192</v>
      </c>
      <c r="E8">
        <v>0.25900000000000001</v>
      </c>
      <c r="F8">
        <v>0.26700000000000002</v>
      </c>
      <c r="G8">
        <v>0.06</v>
      </c>
      <c r="AF8">
        <f t="shared" si="1"/>
        <v>0.26700000000000002</v>
      </c>
      <c r="AG8" s="9">
        <f t="shared" si="2"/>
        <v>0.22471910112359547</v>
      </c>
    </row>
    <row r="9" spans="1:36">
      <c r="A9">
        <v>1975</v>
      </c>
      <c r="B9">
        <v>3.4000000000000002E-2</v>
      </c>
      <c r="C9">
        <v>0.14799999999999999</v>
      </c>
      <c r="D9">
        <v>0.252</v>
      </c>
      <c r="E9">
        <v>0.29299999999999998</v>
      </c>
      <c r="F9">
        <v>0.44400000000000001</v>
      </c>
      <c r="G9">
        <v>9.8000000000000004E-2</v>
      </c>
      <c r="AF9">
        <f t="shared" si="1"/>
        <v>0.44400000000000001</v>
      </c>
      <c r="AG9" s="9">
        <f t="shared" si="2"/>
        <v>0.22072072072072071</v>
      </c>
    </row>
    <row r="10" spans="1:36">
      <c r="A10">
        <v>1976</v>
      </c>
      <c r="B10">
        <v>0.04</v>
      </c>
      <c r="C10">
        <v>0.16500000000000001</v>
      </c>
      <c r="D10">
        <v>0.17599999999999999</v>
      </c>
      <c r="E10">
        <v>0.30399999999999999</v>
      </c>
      <c r="F10">
        <v>0.51</v>
      </c>
      <c r="G10">
        <v>0.108</v>
      </c>
      <c r="AF10">
        <f t="shared" si="1"/>
        <v>0.51</v>
      </c>
      <c r="AG10" s="9">
        <f t="shared" si="2"/>
        <v>0.21176470588235294</v>
      </c>
    </row>
    <row r="11" spans="1:36">
      <c r="A11">
        <v>1977</v>
      </c>
      <c r="B11">
        <v>3.1E-2</v>
      </c>
      <c r="C11">
        <v>0.183</v>
      </c>
      <c r="D11">
        <v>0.189</v>
      </c>
      <c r="E11">
        <v>0.27900000000000003</v>
      </c>
      <c r="F11">
        <v>0.46899999999999997</v>
      </c>
      <c r="G11">
        <v>9.5000000000000001E-2</v>
      </c>
      <c r="AF11">
        <f t="shared" si="1"/>
        <v>0.46899999999999997</v>
      </c>
      <c r="AG11" s="9">
        <f t="shared" si="2"/>
        <v>0.20255863539445632</v>
      </c>
    </row>
    <row r="12" spans="1:36">
      <c r="A12">
        <v>1978</v>
      </c>
      <c r="B12">
        <v>3.7999999999999999E-2</v>
      </c>
      <c r="C12">
        <v>0.189</v>
      </c>
      <c r="D12">
        <v>0.22</v>
      </c>
      <c r="E12">
        <v>0.29299999999999998</v>
      </c>
      <c r="F12">
        <v>0.311</v>
      </c>
      <c r="G12">
        <v>6.0999999999999999E-2</v>
      </c>
      <c r="AF12">
        <f t="shared" si="1"/>
        <v>0.311</v>
      </c>
      <c r="AG12" s="9">
        <f t="shared" si="2"/>
        <v>0.19614147909967844</v>
      </c>
    </row>
    <row r="13" spans="1:36">
      <c r="A13">
        <v>1979</v>
      </c>
      <c r="B13">
        <v>4.5999999999999999E-2</v>
      </c>
      <c r="C13">
        <v>0.223</v>
      </c>
      <c r="D13">
        <v>0.127</v>
      </c>
      <c r="E13">
        <v>0.30599999999999999</v>
      </c>
      <c r="F13">
        <v>0.33900000000000002</v>
      </c>
      <c r="G13">
        <v>6.4000000000000001E-2</v>
      </c>
      <c r="AF13">
        <f t="shared" si="1"/>
        <v>0.33900000000000002</v>
      </c>
      <c r="AG13" s="9">
        <f t="shared" si="2"/>
        <v>0.1887905604719764</v>
      </c>
    </row>
    <row r="14" spans="1:36">
      <c r="A14">
        <v>1980</v>
      </c>
      <c r="B14">
        <v>0.08</v>
      </c>
      <c r="C14">
        <v>0.23100000000000001</v>
      </c>
      <c r="D14">
        <v>0.186</v>
      </c>
      <c r="E14">
        <v>0.26500000000000001</v>
      </c>
      <c r="F14">
        <v>0.35499999999999998</v>
      </c>
      <c r="G14">
        <v>6.5000000000000002E-2</v>
      </c>
      <c r="AF14">
        <f t="shared" si="1"/>
        <v>0.35499999999999998</v>
      </c>
      <c r="AG14" s="9">
        <f t="shared" si="2"/>
        <v>0.18309859154929578</v>
      </c>
    </row>
    <row r="15" spans="1:36">
      <c r="A15">
        <v>1981</v>
      </c>
      <c r="B15">
        <v>0.121</v>
      </c>
      <c r="C15">
        <v>0.26300000000000001</v>
      </c>
      <c r="D15">
        <v>0.219</v>
      </c>
      <c r="E15">
        <v>0.32100000000000001</v>
      </c>
      <c r="F15">
        <v>0.60399999999999998</v>
      </c>
      <c r="G15">
        <v>0.108</v>
      </c>
      <c r="AF15">
        <f t="shared" si="1"/>
        <v>0.60399999999999998</v>
      </c>
      <c r="AG15" s="9">
        <f t="shared" si="2"/>
        <v>0.17880794701986755</v>
      </c>
    </row>
    <row r="16" spans="1:36">
      <c r="A16">
        <v>1982</v>
      </c>
      <c r="B16">
        <v>5.6000000000000001E-2</v>
      </c>
      <c r="C16">
        <v>0.33400000000000002</v>
      </c>
      <c r="D16">
        <v>0.23499999999999999</v>
      </c>
      <c r="E16">
        <v>0.44800000000000001</v>
      </c>
      <c r="F16">
        <v>0.73</v>
      </c>
      <c r="G16">
        <v>0.127</v>
      </c>
      <c r="AF16">
        <f t="shared" si="1"/>
        <v>0.73</v>
      </c>
      <c r="AG16" s="9">
        <f t="shared" si="2"/>
        <v>0.17397260273972603</v>
      </c>
    </row>
    <row r="17" spans="1:33">
      <c r="A17">
        <v>1983</v>
      </c>
      <c r="B17">
        <v>7.0999999999999994E-2</v>
      </c>
      <c r="C17">
        <v>0.251</v>
      </c>
      <c r="D17">
        <v>0.22600000000000001</v>
      </c>
      <c r="E17">
        <v>0.58599999999999997</v>
      </c>
      <c r="F17">
        <v>0.88200000000000001</v>
      </c>
      <c r="G17">
        <v>0.14899999999999999</v>
      </c>
      <c r="AF17">
        <f t="shared" si="1"/>
        <v>0.88200000000000001</v>
      </c>
      <c r="AG17" s="9">
        <f t="shared" si="2"/>
        <v>0.16893424036281179</v>
      </c>
    </row>
    <row r="18" spans="1:33">
      <c r="A18">
        <v>1984</v>
      </c>
      <c r="B18">
        <v>5.7000000000000002E-2</v>
      </c>
      <c r="C18">
        <v>0.30199999999999999</v>
      </c>
      <c r="D18">
        <v>0.27800000000000002</v>
      </c>
      <c r="E18">
        <v>0.26900000000000002</v>
      </c>
      <c r="F18">
        <v>0.27600000000000002</v>
      </c>
      <c r="G18">
        <v>4.3999999999999997E-2</v>
      </c>
      <c r="AF18">
        <f t="shared" si="1"/>
        <v>0.30199999999999999</v>
      </c>
      <c r="AG18" s="9">
        <f t="shared" si="2"/>
        <v>0.15942028985507245</v>
      </c>
    </row>
    <row r="19" spans="1:33">
      <c r="A19">
        <v>1985</v>
      </c>
      <c r="B19">
        <v>7.2999999999999995E-2</v>
      </c>
      <c r="C19">
        <v>0.20399999999999999</v>
      </c>
      <c r="D19">
        <v>0.253</v>
      </c>
      <c r="E19">
        <v>0.33600000000000002</v>
      </c>
      <c r="F19">
        <v>0.64200000000000002</v>
      </c>
      <c r="G19">
        <v>9.9000000000000005E-2</v>
      </c>
      <c r="AF19">
        <f t="shared" si="1"/>
        <v>0.64200000000000002</v>
      </c>
      <c r="AG19" s="9">
        <f t="shared" si="2"/>
        <v>0.15420560747663553</v>
      </c>
    </row>
    <row r="20" spans="1:33">
      <c r="A20">
        <v>1986</v>
      </c>
      <c r="B20">
        <v>7.2999999999999995E-2</v>
      </c>
      <c r="C20">
        <v>0.188</v>
      </c>
      <c r="D20">
        <v>0.157</v>
      </c>
      <c r="E20">
        <v>0.39800000000000002</v>
      </c>
      <c r="F20">
        <v>0.57999999999999996</v>
      </c>
      <c r="G20">
        <v>0.09</v>
      </c>
      <c r="AF20">
        <f t="shared" si="1"/>
        <v>0.57999999999999996</v>
      </c>
      <c r="AG20" s="9">
        <f t="shared" si="2"/>
        <v>0.15517241379310345</v>
      </c>
    </row>
    <row r="21" spans="1:33">
      <c r="A21">
        <v>1987</v>
      </c>
      <c r="B21">
        <v>0.126</v>
      </c>
      <c r="C21">
        <v>0.217</v>
      </c>
      <c r="D21">
        <v>0.159</v>
      </c>
      <c r="E21">
        <v>0.28699999999999998</v>
      </c>
      <c r="F21">
        <v>0.55500000000000005</v>
      </c>
      <c r="G21">
        <v>8.5999999999999993E-2</v>
      </c>
      <c r="AF21">
        <f t="shared" si="1"/>
        <v>0.55500000000000005</v>
      </c>
      <c r="AG21" s="9">
        <f t="shared" si="2"/>
        <v>0.15495495495495493</v>
      </c>
    </row>
    <row r="22" spans="1:33">
      <c r="A22">
        <v>1988</v>
      </c>
      <c r="B22">
        <v>0.11899999999999999</v>
      </c>
      <c r="C22">
        <v>0.26900000000000002</v>
      </c>
      <c r="D22">
        <v>0.14000000000000001</v>
      </c>
      <c r="E22">
        <v>0.32800000000000001</v>
      </c>
      <c r="F22">
        <v>0.32</v>
      </c>
      <c r="G22">
        <v>5.1999999999999998E-2</v>
      </c>
      <c r="AF22">
        <f t="shared" si="1"/>
        <v>0.32800000000000001</v>
      </c>
      <c r="AG22" s="9">
        <f t="shared" si="2"/>
        <v>0.16249999999999998</v>
      </c>
    </row>
    <row r="23" spans="1:33">
      <c r="A23">
        <v>1989</v>
      </c>
      <c r="B23">
        <v>0.11600000000000001</v>
      </c>
      <c r="C23">
        <v>0.25900000000000001</v>
      </c>
      <c r="D23">
        <v>0.128</v>
      </c>
      <c r="E23">
        <v>0.34200000000000003</v>
      </c>
      <c r="F23">
        <v>0.66</v>
      </c>
      <c r="G23">
        <v>0.112</v>
      </c>
      <c r="AF23">
        <f t="shared" si="1"/>
        <v>0.66</v>
      </c>
      <c r="AG23" s="9">
        <f t="shared" si="2"/>
        <v>0.16969696969696968</v>
      </c>
    </row>
    <row r="24" spans="1:33">
      <c r="A24">
        <v>1990</v>
      </c>
      <c r="B24">
        <v>0.13900000000000001</v>
      </c>
      <c r="C24">
        <v>0.318</v>
      </c>
      <c r="D24">
        <v>0.155</v>
      </c>
      <c r="E24">
        <v>0.43</v>
      </c>
      <c r="F24">
        <v>0.98099999999999998</v>
      </c>
      <c r="G24">
        <v>0.17499999999999999</v>
      </c>
      <c r="AF24">
        <f t="shared" si="1"/>
        <v>0.98099999999999998</v>
      </c>
      <c r="AG24" s="9">
        <f t="shared" si="2"/>
        <v>0.1783893985728848</v>
      </c>
    </row>
    <row r="25" spans="1:33">
      <c r="A25">
        <v>1991</v>
      </c>
      <c r="B25">
        <v>0.13300000000000001</v>
      </c>
      <c r="C25">
        <v>0.30599999999999999</v>
      </c>
      <c r="D25">
        <v>0.16700000000000001</v>
      </c>
      <c r="E25">
        <v>0.42</v>
      </c>
      <c r="F25">
        <v>0.88900000000000001</v>
      </c>
      <c r="G25">
        <v>0.16300000000000001</v>
      </c>
      <c r="AF25">
        <f t="shared" si="1"/>
        <v>0.88900000000000001</v>
      </c>
      <c r="AG25" s="9">
        <f t="shared" si="2"/>
        <v>0.18335208098987626</v>
      </c>
    </row>
    <row r="26" spans="1:33">
      <c r="A26">
        <v>1992</v>
      </c>
      <c r="B26">
        <v>0.121</v>
      </c>
      <c r="C26">
        <v>0.28799999999999998</v>
      </c>
      <c r="D26">
        <v>0.18099999999999999</v>
      </c>
      <c r="E26">
        <v>0.44500000000000001</v>
      </c>
      <c r="F26">
        <v>1.0469999999999999</v>
      </c>
      <c r="G26">
        <v>0.19600000000000001</v>
      </c>
      <c r="AF26">
        <f t="shared" si="1"/>
        <v>1.0469999999999999</v>
      </c>
      <c r="AG26" s="9">
        <f t="shared" si="2"/>
        <v>0.18720152817574023</v>
      </c>
    </row>
    <row r="27" spans="1:33">
      <c r="A27">
        <v>1993</v>
      </c>
      <c r="B27">
        <v>0.158</v>
      </c>
      <c r="C27">
        <v>0.28299999999999997</v>
      </c>
      <c r="D27">
        <v>0.23400000000000001</v>
      </c>
      <c r="E27">
        <v>0.502</v>
      </c>
      <c r="F27">
        <v>0.85799999999999998</v>
      </c>
      <c r="G27">
        <v>0.16400000000000001</v>
      </c>
      <c r="AF27">
        <f t="shared" si="1"/>
        <v>0.85799999999999998</v>
      </c>
      <c r="AG27" s="9">
        <f t="shared" si="2"/>
        <v>0.19114219114219116</v>
      </c>
    </row>
    <row r="28" spans="1:33">
      <c r="A28">
        <v>1994</v>
      </c>
      <c r="B28">
        <v>0.115</v>
      </c>
      <c r="C28">
        <v>0.32800000000000001</v>
      </c>
      <c r="D28">
        <v>0.318</v>
      </c>
      <c r="E28">
        <v>0.41399999999999998</v>
      </c>
      <c r="F28">
        <v>1.0329999999999999</v>
      </c>
      <c r="G28">
        <v>0.20499999999999999</v>
      </c>
      <c r="AF28">
        <f t="shared" si="1"/>
        <v>1.0329999999999999</v>
      </c>
      <c r="AG28" s="9">
        <f t="shared" si="2"/>
        <v>0.19845111326234269</v>
      </c>
    </row>
    <row r="29" spans="1:33">
      <c r="A29">
        <v>1995</v>
      </c>
      <c r="B29">
        <v>0.124</v>
      </c>
      <c r="C29">
        <v>0.30599999999999999</v>
      </c>
      <c r="D29">
        <v>0.21299999999999999</v>
      </c>
      <c r="E29">
        <v>0.371</v>
      </c>
      <c r="F29">
        <v>0.93400000000000005</v>
      </c>
      <c r="G29">
        <v>0.19700000000000001</v>
      </c>
      <c r="AF29">
        <f t="shared" si="1"/>
        <v>0.93400000000000005</v>
      </c>
      <c r="AG29" s="9">
        <f t="shared" si="2"/>
        <v>0.21092077087794434</v>
      </c>
    </row>
    <row r="30" spans="1:33">
      <c r="A30">
        <v>1996</v>
      </c>
      <c r="B30">
        <v>0.127</v>
      </c>
      <c r="C30">
        <v>0.36099999999999999</v>
      </c>
      <c r="D30">
        <v>0.219</v>
      </c>
      <c r="E30">
        <v>0.38200000000000001</v>
      </c>
      <c r="F30">
        <v>0.82</v>
      </c>
      <c r="G30">
        <v>0.185</v>
      </c>
      <c r="AF30">
        <f t="shared" si="1"/>
        <v>0.82</v>
      </c>
      <c r="AG30" s="9">
        <f t="shared" si="2"/>
        <v>0.22560975609756098</v>
      </c>
    </row>
    <row r="31" spans="1:33">
      <c r="A31">
        <v>1997</v>
      </c>
      <c r="B31">
        <v>0.10299999999999999</v>
      </c>
      <c r="C31">
        <v>0.40100000000000002</v>
      </c>
      <c r="D31">
        <v>0.19800000000000001</v>
      </c>
      <c r="E31">
        <v>0.31900000000000001</v>
      </c>
      <c r="F31">
        <v>0.71</v>
      </c>
      <c r="G31">
        <v>0.17799999999999999</v>
      </c>
      <c r="AF31">
        <f t="shared" si="1"/>
        <v>0.71</v>
      </c>
      <c r="AG31" s="9">
        <f t="shared" si="2"/>
        <v>0.25070422535211268</v>
      </c>
    </row>
    <row r="32" spans="1:33">
      <c r="A32">
        <v>1998</v>
      </c>
      <c r="B32">
        <v>8.1000000000000003E-2</v>
      </c>
      <c r="C32">
        <v>0.40799999999999997</v>
      </c>
      <c r="D32">
        <v>0.23899999999999999</v>
      </c>
      <c r="E32">
        <v>0.35799999999999998</v>
      </c>
      <c r="F32">
        <v>0.89700000000000002</v>
      </c>
      <c r="G32">
        <v>0.254</v>
      </c>
      <c r="AF32">
        <f t="shared" si="1"/>
        <v>0.89700000000000002</v>
      </c>
      <c r="AG32" s="9">
        <f t="shared" si="2"/>
        <v>0.28316610925306579</v>
      </c>
    </row>
    <row r="33" spans="1:33">
      <c r="A33">
        <v>1999</v>
      </c>
      <c r="B33">
        <v>0.128</v>
      </c>
      <c r="C33">
        <v>0.51800000000000002</v>
      </c>
      <c r="D33">
        <v>0.28399999999999997</v>
      </c>
      <c r="E33">
        <v>0.36899999999999999</v>
      </c>
      <c r="F33">
        <v>0.66900000000000004</v>
      </c>
      <c r="G33">
        <v>0.20699999999999999</v>
      </c>
      <c r="AF33">
        <f t="shared" si="1"/>
        <v>0.66900000000000004</v>
      </c>
      <c r="AG33" s="9">
        <f t="shared" si="2"/>
        <v>0.30941704035874434</v>
      </c>
    </row>
    <row r="34" spans="1:33">
      <c r="A34">
        <v>2000</v>
      </c>
      <c r="B34">
        <v>0.17399999999999999</v>
      </c>
      <c r="C34">
        <v>0.34</v>
      </c>
      <c r="D34">
        <v>0.16800000000000001</v>
      </c>
      <c r="E34">
        <v>0.495</v>
      </c>
      <c r="F34">
        <v>0.65200000000000002</v>
      </c>
      <c r="G34">
        <v>0.21199999999999999</v>
      </c>
      <c r="AF34">
        <f t="shared" si="1"/>
        <v>0.65200000000000002</v>
      </c>
      <c r="AG34" s="9">
        <f t="shared" si="2"/>
        <v>0.32515337423312879</v>
      </c>
    </row>
    <row r="35" spans="1:33">
      <c r="A35">
        <v>2001</v>
      </c>
      <c r="B35">
        <v>0.155</v>
      </c>
      <c r="C35">
        <v>0.67700000000000005</v>
      </c>
      <c r="D35">
        <v>0.252</v>
      </c>
      <c r="E35">
        <v>0.39800000000000002</v>
      </c>
      <c r="F35">
        <v>0.78300000000000003</v>
      </c>
      <c r="G35">
        <v>0.26100000000000001</v>
      </c>
      <c r="AF35">
        <f t="shared" si="1"/>
        <v>0.78300000000000003</v>
      </c>
      <c r="AG35" s="9">
        <f t="shared" si="2"/>
        <v>0.33333333333333331</v>
      </c>
    </row>
    <row r="36" spans="1:33">
      <c r="A36">
        <v>2002</v>
      </c>
      <c r="B36">
        <v>0.17599999999999999</v>
      </c>
      <c r="C36">
        <v>0.50700000000000001</v>
      </c>
      <c r="D36">
        <v>0.214</v>
      </c>
      <c r="E36">
        <v>0.34499999999999997</v>
      </c>
      <c r="F36">
        <v>0.55700000000000005</v>
      </c>
      <c r="G36">
        <v>0.184</v>
      </c>
      <c r="AF36">
        <f t="shared" si="1"/>
        <v>0.55700000000000005</v>
      </c>
      <c r="AG36" s="9">
        <f t="shared" si="2"/>
        <v>0.33034111310592457</v>
      </c>
    </row>
    <row r="37" spans="1:33">
      <c r="A37">
        <v>2003</v>
      </c>
      <c r="B37">
        <v>0.17699999999999999</v>
      </c>
      <c r="C37">
        <v>0.54600000000000004</v>
      </c>
      <c r="D37">
        <v>0.188</v>
      </c>
      <c r="E37">
        <v>0.42499999999999999</v>
      </c>
      <c r="F37">
        <v>0.55600000000000005</v>
      </c>
      <c r="G37">
        <v>0.18</v>
      </c>
      <c r="AF37">
        <f t="shared" si="1"/>
        <v>0.55600000000000005</v>
      </c>
      <c r="AG37" s="9">
        <f t="shared" si="2"/>
        <v>0.32374100719424459</v>
      </c>
    </row>
    <row r="38" spans="1:33">
      <c r="A38">
        <v>2004</v>
      </c>
      <c r="B38">
        <v>0.152</v>
      </c>
      <c r="C38">
        <v>0.443</v>
      </c>
      <c r="D38">
        <v>0.27600000000000002</v>
      </c>
      <c r="E38">
        <v>0.39</v>
      </c>
      <c r="F38">
        <v>0.59899999999999998</v>
      </c>
      <c r="G38">
        <v>0.188</v>
      </c>
      <c r="AF38">
        <f t="shared" si="1"/>
        <v>0.59899999999999998</v>
      </c>
      <c r="AG38" s="9">
        <f t="shared" si="2"/>
        <v>0.31385642737896496</v>
      </c>
    </row>
    <row r="39" spans="1:33">
      <c r="A39">
        <v>2005</v>
      </c>
      <c r="B39">
        <v>0.11600000000000001</v>
      </c>
      <c r="C39">
        <v>0.42099999999999999</v>
      </c>
      <c r="D39">
        <v>0.19700000000000001</v>
      </c>
      <c r="E39">
        <v>0.34</v>
      </c>
      <c r="F39">
        <v>0.57899999999999996</v>
      </c>
      <c r="G39">
        <v>0.17399999999999999</v>
      </c>
      <c r="AF39">
        <f t="shared" si="1"/>
        <v>0.57899999999999996</v>
      </c>
      <c r="AG39" s="9">
        <f t="shared" si="2"/>
        <v>0.30051813471502592</v>
      </c>
    </row>
    <row r="40" spans="1:33">
      <c r="A40">
        <v>2006</v>
      </c>
      <c r="B40">
        <v>0.09</v>
      </c>
      <c r="C40">
        <v>0.20300000000000001</v>
      </c>
      <c r="D40">
        <v>0.219</v>
      </c>
      <c r="E40">
        <v>0.40500000000000003</v>
      </c>
      <c r="F40">
        <v>0.66</v>
      </c>
      <c r="G40">
        <v>0.19500000000000001</v>
      </c>
      <c r="AF40">
        <f t="shared" si="1"/>
        <v>0.66</v>
      </c>
      <c r="AG40" s="9">
        <f t="shared" si="2"/>
        <v>0.29545454545454547</v>
      </c>
    </row>
    <row r="41" spans="1:33">
      <c r="AF41" t="str">
        <f t="shared" si="1"/>
        <v/>
      </c>
      <c r="AG41" s="9"/>
    </row>
    <row r="42" spans="1:33">
      <c r="AF42" t="str">
        <f t="shared" si="1"/>
        <v/>
      </c>
    </row>
    <row r="43" spans="1:33">
      <c r="AF43" t="str">
        <f t="shared" si="1"/>
        <v/>
      </c>
    </row>
    <row r="44" spans="1:33">
      <c r="AF44" t="str">
        <f t="shared" si="1"/>
        <v/>
      </c>
    </row>
    <row r="45" spans="1:33">
      <c r="AF45" t="str">
        <f t="shared" si="1"/>
        <v/>
      </c>
    </row>
    <row r="46" spans="1:33">
      <c r="AF46" t="str">
        <f t="shared" si="1"/>
        <v/>
      </c>
    </row>
    <row r="47" spans="1:33">
      <c r="AF47" t="str">
        <f t="shared" si="1"/>
        <v/>
      </c>
    </row>
    <row r="48" spans="1:33">
      <c r="AF48" t="str">
        <f t="shared" si="1"/>
        <v/>
      </c>
    </row>
    <row r="49" spans="32:32">
      <c r="AF49" t="str">
        <f t="shared" si="1"/>
        <v/>
      </c>
    </row>
    <row r="50" spans="32:32">
      <c r="AF50" t="str">
        <f t="shared" si="1"/>
        <v/>
      </c>
    </row>
    <row r="51" spans="32:32">
      <c r="AF51" t="str">
        <f t="shared" si="1"/>
        <v/>
      </c>
    </row>
    <row r="52" spans="32:32">
      <c r="AF52" t="str">
        <f t="shared" si="1"/>
        <v/>
      </c>
    </row>
    <row r="53" spans="32:32">
      <c r="AF53" t="str">
        <f t="shared" si="1"/>
        <v/>
      </c>
    </row>
    <row r="54" spans="32:32">
      <c r="AF54" t="str">
        <f t="shared" si="1"/>
        <v/>
      </c>
    </row>
    <row r="55" spans="32:32">
      <c r="AF55" t="str">
        <f t="shared" si="1"/>
        <v/>
      </c>
    </row>
    <row r="56" spans="32:32">
      <c r="AF56" t="str">
        <f t="shared" si="1"/>
        <v/>
      </c>
    </row>
    <row r="57" spans="32:32">
      <c r="AF57" t="str">
        <f t="shared" si="1"/>
        <v/>
      </c>
    </row>
    <row r="58" spans="32:32">
      <c r="AF58" t="str">
        <f t="shared" si="1"/>
        <v/>
      </c>
    </row>
    <row r="59" spans="32:32">
      <c r="AF59" t="str">
        <f t="shared" si="1"/>
        <v/>
      </c>
    </row>
    <row r="60" spans="32:32">
      <c r="AF60" t="str">
        <f t="shared" si="1"/>
        <v/>
      </c>
    </row>
    <row r="61" spans="32:32">
      <c r="AF61" t="str">
        <f t="shared" si="1"/>
        <v/>
      </c>
    </row>
    <row r="62" spans="32:32">
      <c r="AF62" t="str">
        <f t="shared" si="1"/>
        <v/>
      </c>
    </row>
    <row r="63" spans="32:32">
      <c r="AF63" t="str">
        <f t="shared" si="1"/>
        <v/>
      </c>
    </row>
    <row r="64" spans="32:32">
      <c r="AF64" t="str">
        <f t="shared" si="1"/>
        <v/>
      </c>
    </row>
    <row r="65" spans="32:32">
      <c r="AF65" t="str">
        <f t="shared" si="1"/>
        <v/>
      </c>
    </row>
    <row r="66" spans="32:32">
      <c r="AF66" t="str">
        <f t="shared" si="1"/>
        <v/>
      </c>
    </row>
    <row r="67" spans="32:32">
      <c r="AF67" t="str">
        <f t="shared" si="1"/>
        <v/>
      </c>
    </row>
    <row r="68" spans="32:32">
      <c r="AF68" t="str">
        <f t="shared" si="1"/>
        <v/>
      </c>
    </row>
    <row r="69" spans="32:32">
      <c r="AF69" t="str">
        <f t="shared" ref="AF69:AF99" si="3">IF(B69&gt;0,MAX(B69:AE69),"")</f>
        <v/>
      </c>
    </row>
    <row r="70" spans="32:32">
      <c r="AF70" t="str">
        <f t="shared" si="3"/>
        <v/>
      </c>
    </row>
    <row r="71" spans="32:32">
      <c r="AF71" t="str">
        <f t="shared" si="3"/>
        <v/>
      </c>
    </row>
    <row r="72" spans="32:32">
      <c r="AF72" t="str">
        <f t="shared" si="3"/>
        <v/>
      </c>
    </row>
    <row r="73" spans="32:32">
      <c r="AF73" t="str">
        <f t="shared" si="3"/>
        <v/>
      </c>
    </row>
    <row r="74" spans="32:32">
      <c r="AF74" t="str">
        <f t="shared" si="3"/>
        <v/>
      </c>
    </row>
    <row r="75" spans="32:32">
      <c r="AF75" t="str">
        <f t="shared" si="3"/>
        <v/>
      </c>
    </row>
    <row r="76" spans="32:32">
      <c r="AF76" t="str">
        <f t="shared" si="3"/>
        <v/>
      </c>
    </row>
    <row r="77" spans="32:32">
      <c r="AF77" t="str">
        <f t="shared" si="3"/>
        <v/>
      </c>
    </row>
    <row r="78" spans="32:32">
      <c r="AF78" t="str">
        <f t="shared" si="3"/>
        <v/>
      </c>
    </row>
    <row r="79" spans="32:32">
      <c r="AF79" t="str">
        <f t="shared" si="3"/>
        <v/>
      </c>
    </row>
    <row r="80" spans="32:32">
      <c r="AF80" t="str">
        <f t="shared" si="3"/>
        <v/>
      </c>
    </row>
    <row r="81" spans="32:32">
      <c r="AF81" t="str">
        <f t="shared" si="3"/>
        <v/>
      </c>
    </row>
    <row r="82" spans="32:32">
      <c r="AF82" t="str">
        <f t="shared" si="3"/>
        <v/>
      </c>
    </row>
    <row r="83" spans="32:32">
      <c r="AF83" t="str">
        <f t="shared" si="3"/>
        <v/>
      </c>
    </row>
    <row r="84" spans="32:32">
      <c r="AF84" t="str">
        <f t="shared" si="3"/>
        <v/>
      </c>
    </row>
    <row r="85" spans="32:32">
      <c r="AF85" t="str">
        <f t="shared" si="3"/>
        <v/>
      </c>
    </row>
    <row r="86" spans="32:32">
      <c r="AF86" t="str">
        <f t="shared" si="3"/>
        <v/>
      </c>
    </row>
    <row r="87" spans="32:32">
      <c r="AF87" t="str">
        <f t="shared" si="3"/>
        <v/>
      </c>
    </row>
    <row r="88" spans="32:32">
      <c r="AF88" t="str">
        <f t="shared" si="3"/>
        <v/>
      </c>
    </row>
    <row r="89" spans="32:32">
      <c r="AF89" t="str">
        <f t="shared" si="3"/>
        <v/>
      </c>
    </row>
    <row r="90" spans="32:32">
      <c r="AF90" t="str">
        <f t="shared" si="3"/>
        <v/>
      </c>
    </row>
    <row r="91" spans="32:32">
      <c r="AF91" t="str">
        <f t="shared" si="3"/>
        <v/>
      </c>
    </row>
    <row r="92" spans="32:32">
      <c r="AF92" t="str">
        <f t="shared" si="3"/>
        <v/>
      </c>
    </row>
    <row r="93" spans="32:32">
      <c r="AF93" t="str">
        <f t="shared" si="3"/>
        <v/>
      </c>
    </row>
    <row r="94" spans="32:32">
      <c r="AF94" t="str">
        <f t="shared" si="3"/>
        <v/>
      </c>
    </row>
    <row r="95" spans="32:32">
      <c r="AF95" t="str">
        <f t="shared" si="3"/>
        <v/>
      </c>
    </row>
    <row r="96" spans="32:32">
      <c r="AF96" t="str">
        <f t="shared" si="3"/>
        <v/>
      </c>
    </row>
    <row r="97" spans="32:32">
      <c r="AF97" t="str">
        <f t="shared" si="3"/>
        <v/>
      </c>
    </row>
    <row r="98" spans="32:32">
      <c r="AF98" t="str">
        <f t="shared" si="3"/>
        <v/>
      </c>
    </row>
    <row r="99" spans="32:32">
      <c r="AF99" t="str">
        <f t="shared" si="3"/>
        <v/>
      </c>
    </row>
    <row r="100" spans="32:32">
      <c r="AF100" t="str">
        <f>IF(B100&gt;0,MAX(B100:AE100),"")</f>
        <v/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1"/>
  <dimension ref="A2:AF99"/>
  <sheetViews>
    <sheetView zoomScale="75" workbookViewId="0">
      <selection activeCell="V36" sqref="V36"/>
    </sheetView>
  </sheetViews>
  <sheetFormatPr defaultRowHeight="12.75"/>
  <sheetData>
    <row r="2" spans="1:32">
      <c r="A2" t="s">
        <v>32</v>
      </c>
      <c r="D2" t="s">
        <v>3</v>
      </c>
      <c r="E2">
        <v>1</v>
      </c>
    </row>
    <row r="3" spans="1:32">
      <c r="A3" t="s">
        <v>0</v>
      </c>
      <c r="B3" s="6" t="s">
        <v>124</v>
      </c>
      <c r="C3" s="6" t="s">
        <v>4</v>
      </c>
      <c r="D3" s="6" t="s">
        <v>5</v>
      </c>
      <c r="E3" s="6" t="s">
        <v>6</v>
      </c>
      <c r="F3" s="6" t="s">
        <v>7</v>
      </c>
      <c r="G3" s="6" t="s">
        <v>8</v>
      </c>
      <c r="H3" s="6"/>
      <c r="I3" s="6" t="s">
        <v>10</v>
      </c>
      <c r="J3" s="6" t="s">
        <v>11</v>
      </c>
      <c r="K3" s="6" t="s">
        <v>12</v>
      </c>
      <c r="L3" s="6" t="s">
        <v>13</v>
      </c>
      <c r="M3" s="6" t="s">
        <v>123</v>
      </c>
      <c r="N3" s="6" t="s">
        <v>14</v>
      </c>
      <c r="O3" s="6" t="s">
        <v>15</v>
      </c>
      <c r="P3" s="6" t="s">
        <v>16</v>
      </c>
      <c r="Q3" s="6" t="s">
        <v>17</v>
      </c>
      <c r="R3" s="6" t="s">
        <v>18</v>
      </c>
      <c r="S3" s="6" t="s">
        <v>19</v>
      </c>
      <c r="T3" s="6" t="s">
        <v>20</v>
      </c>
      <c r="U3" s="6" t="s">
        <v>21</v>
      </c>
      <c r="V3" s="6" t="s">
        <v>22</v>
      </c>
      <c r="W3" s="6" t="s">
        <v>23</v>
      </c>
      <c r="X3" s="6" t="s">
        <v>24</v>
      </c>
      <c r="Y3" s="6" t="s">
        <v>25</v>
      </c>
      <c r="Z3" s="6" t="s">
        <v>26</v>
      </c>
      <c r="AA3" s="6" t="s">
        <v>27</v>
      </c>
      <c r="AB3" s="6" t="s">
        <v>28</v>
      </c>
      <c r="AC3" s="6" t="s">
        <v>29</v>
      </c>
      <c r="AD3" s="6" t="s">
        <v>30</v>
      </c>
      <c r="AE3" s="6" t="s">
        <v>31</v>
      </c>
      <c r="AF3" t="s">
        <v>39</v>
      </c>
    </row>
    <row r="4" spans="1:32">
      <c r="A4">
        <v>1970</v>
      </c>
      <c r="B4">
        <v>63352372</v>
      </c>
      <c r="C4">
        <v>29754651</v>
      </c>
      <c r="D4">
        <v>10215817</v>
      </c>
      <c r="E4">
        <v>6575939</v>
      </c>
      <c r="F4">
        <v>3134956</v>
      </c>
      <c r="G4">
        <v>3368437</v>
      </c>
      <c r="AF4">
        <f>IF(B4&gt;0,SUM(B4:AE4),"")</f>
        <v>116402172</v>
      </c>
    </row>
    <row r="5" spans="1:32">
      <c r="A5">
        <v>1971</v>
      </c>
      <c r="B5">
        <v>61890946</v>
      </c>
      <c r="C5">
        <v>28230330</v>
      </c>
      <c r="D5">
        <v>11925186</v>
      </c>
      <c r="E5">
        <v>5165138</v>
      </c>
      <c r="F5">
        <v>3137584</v>
      </c>
      <c r="G5">
        <v>3264003</v>
      </c>
      <c r="AF5">
        <f t="shared" ref="AF5:AF68" si="0">IF(B5&gt;0,SUM(B5:AE5),"")</f>
        <v>113613187</v>
      </c>
    </row>
    <row r="6" spans="1:32">
      <c r="A6">
        <v>1972</v>
      </c>
      <c r="B6">
        <v>53128261</v>
      </c>
      <c r="C6">
        <v>27584548</v>
      </c>
      <c r="D6">
        <v>11403190</v>
      </c>
      <c r="E6">
        <v>5612298</v>
      </c>
      <c r="F6">
        <v>2490604</v>
      </c>
      <c r="G6">
        <v>3247341</v>
      </c>
      <c r="AF6">
        <f t="shared" si="0"/>
        <v>103466242</v>
      </c>
    </row>
    <row r="7" spans="1:32">
      <c r="A7">
        <v>1973</v>
      </c>
      <c r="B7">
        <v>58625271</v>
      </c>
      <c r="C7">
        <v>23630413</v>
      </c>
      <c r="D7">
        <v>11064555</v>
      </c>
      <c r="E7">
        <v>5178780</v>
      </c>
      <c r="F7">
        <v>2512165</v>
      </c>
      <c r="G7">
        <v>2872835</v>
      </c>
      <c r="AF7">
        <f t="shared" si="0"/>
        <v>103884019</v>
      </c>
    </row>
    <row r="8" spans="1:32">
      <c r="A8">
        <v>1974</v>
      </c>
      <c r="B8">
        <v>66463128</v>
      </c>
      <c r="C8">
        <v>26183374</v>
      </c>
      <c r="D8">
        <v>9595172</v>
      </c>
      <c r="E8">
        <v>5166483</v>
      </c>
      <c r="F8">
        <v>2256343</v>
      </c>
      <c r="G8">
        <v>2612477</v>
      </c>
      <c r="AF8">
        <f t="shared" si="0"/>
        <v>112276977</v>
      </c>
    </row>
    <row r="9" spans="1:32">
      <c r="A9">
        <v>1975</v>
      </c>
      <c r="B9">
        <v>79317169</v>
      </c>
      <c r="C9">
        <v>29285529</v>
      </c>
      <c r="D9">
        <v>10151006</v>
      </c>
      <c r="E9">
        <v>4344316</v>
      </c>
      <c r="F9">
        <v>2188424</v>
      </c>
      <c r="G9">
        <v>2297829</v>
      </c>
      <c r="AF9">
        <f t="shared" si="0"/>
        <v>127584273</v>
      </c>
    </row>
    <row r="10" spans="1:32">
      <c r="A10">
        <v>1976</v>
      </c>
      <c r="B10">
        <v>80849812</v>
      </c>
      <c r="C10">
        <v>34434029</v>
      </c>
      <c r="D10">
        <v>11347537</v>
      </c>
      <c r="E10">
        <v>4331528</v>
      </c>
      <c r="F10">
        <v>1778419</v>
      </c>
      <c r="G10">
        <v>1914091</v>
      </c>
      <c r="AF10">
        <f t="shared" si="0"/>
        <v>134655416</v>
      </c>
    </row>
    <row r="11" spans="1:32">
      <c r="A11">
        <v>1977</v>
      </c>
      <c r="B11">
        <v>69990642</v>
      </c>
      <c r="C11">
        <v>34906413</v>
      </c>
      <c r="D11">
        <v>13124843</v>
      </c>
      <c r="E11">
        <v>5223100</v>
      </c>
      <c r="F11">
        <v>1753243</v>
      </c>
      <c r="G11">
        <v>1528911</v>
      </c>
      <c r="AF11">
        <f t="shared" si="0"/>
        <v>126527152</v>
      </c>
    </row>
    <row r="12" spans="1:32">
      <c r="A12">
        <v>1978</v>
      </c>
      <c r="B12">
        <v>62370073</v>
      </c>
      <c r="C12">
        <v>30479561</v>
      </c>
      <c r="D12">
        <v>13067693</v>
      </c>
      <c r="E12">
        <v>5965426</v>
      </c>
      <c r="F12">
        <v>2167787</v>
      </c>
      <c r="G12">
        <v>1364871</v>
      </c>
      <c r="AF12">
        <f t="shared" si="0"/>
        <v>115415411</v>
      </c>
    </row>
    <row r="13" spans="1:32">
      <c r="A13">
        <v>1979</v>
      </c>
      <c r="B13">
        <v>64836350</v>
      </c>
      <c r="C13">
        <v>26987507</v>
      </c>
      <c r="D13">
        <v>11332598</v>
      </c>
      <c r="E13">
        <v>5754370</v>
      </c>
      <c r="F13">
        <v>2442806</v>
      </c>
      <c r="G13">
        <v>1576818</v>
      </c>
      <c r="AF13">
        <f t="shared" si="0"/>
        <v>112930449</v>
      </c>
    </row>
    <row r="14" spans="1:32">
      <c r="A14">
        <v>1980</v>
      </c>
      <c r="B14">
        <v>60450918</v>
      </c>
      <c r="C14">
        <v>27812783</v>
      </c>
      <c r="D14">
        <v>9697654</v>
      </c>
      <c r="E14">
        <v>5477721</v>
      </c>
      <c r="F14">
        <v>2326431</v>
      </c>
      <c r="G14">
        <v>1766602</v>
      </c>
      <c r="AF14">
        <f t="shared" si="0"/>
        <v>107532109</v>
      </c>
    </row>
    <row r="15" spans="1:32">
      <c r="A15">
        <v>1981</v>
      </c>
      <c r="B15">
        <v>85424802</v>
      </c>
      <c r="C15">
        <v>25084450</v>
      </c>
      <c r="D15">
        <v>9914677</v>
      </c>
      <c r="E15">
        <v>4420187</v>
      </c>
      <c r="F15">
        <v>2305835</v>
      </c>
      <c r="G15">
        <v>1803809</v>
      </c>
      <c r="AF15">
        <f t="shared" si="0"/>
        <v>128953760</v>
      </c>
    </row>
    <row r="16" spans="1:32">
      <c r="A16">
        <v>1982</v>
      </c>
      <c r="B16">
        <v>71019816</v>
      </c>
      <c r="C16">
        <v>34007337</v>
      </c>
      <c r="D16">
        <v>8664833</v>
      </c>
      <c r="E16">
        <v>4372783</v>
      </c>
      <c r="F16">
        <v>1760623</v>
      </c>
      <c r="G16">
        <v>1580039</v>
      </c>
      <c r="AF16">
        <f t="shared" si="0"/>
        <v>121405431</v>
      </c>
    </row>
    <row r="17" spans="1:32">
      <c r="A17">
        <v>1983</v>
      </c>
      <c r="B17">
        <v>90700309</v>
      </c>
      <c r="C17">
        <v>30182825</v>
      </c>
      <c r="D17">
        <v>10937226</v>
      </c>
      <c r="E17">
        <v>3760366</v>
      </c>
      <c r="F17">
        <v>1532928</v>
      </c>
      <c r="G17">
        <v>1229842</v>
      </c>
      <c r="AF17">
        <f t="shared" si="0"/>
        <v>138343496</v>
      </c>
    </row>
    <row r="18" spans="1:32">
      <c r="A18">
        <v>1984</v>
      </c>
      <c r="B18">
        <v>76131793</v>
      </c>
      <c r="C18">
        <v>37945258</v>
      </c>
      <c r="D18">
        <v>10556287</v>
      </c>
      <c r="E18">
        <v>4789281</v>
      </c>
      <c r="F18">
        <v>1148650</v>
      </c>
      <c r="G18">
        <v>930204</v>
      </c>
      <c r="AF18">
        <f t="shared" si="0"/>
        <v>131501473</v>
      </c>
    </row>
    <row r="19" spans="1:32">
      <c r="A19">
        <v>1985</v>
      </c>
      <c r="B19">
        <v>87534083</v>
      </c>
      <c r="C19">
        <v>32321535</v>
      </c>
      <c r="D19">
        <v>12604037</v>
      </c>
      <c r="E19">
        <v>4387424</v>
      </c>
      <c r="F19">
        <v>2008042</v>
      </c>
      <c r="G19">
        <v>966883</v>
      </c>
      <c r="AF19">
        <f t="shared" si="0"/>
        <v>139822004</v>
      </c>
    </row>
    <row r="20" spans="1:32">
      <c r="A20">
        <v>1986</v>
      </c>
      <c r="B20">
        <v>75994547</v>
      </c>
      <c r="C20">
        <v>36558339</v>
      </c>
      <c r="D20">
        <v>11840053</v>
      </c>
      <c r="E20">
        <v>5372577</v>
      </c>
      <c r="F20">
        <v>1720506</v>
      </c>
      <c r="G20">
        <v>1060521</v>
      </c>
      <c r="AF20">
        <f t="shared" si="0"/>
        <v>132546543</v>
      </c>
    </row>
    <row r="21" spans="1:32">
      <c r="A21">
        <v>1987</v>
      </c>
      <c r="B21">
        <v>76716378</v>
      </c>
      <c r="C21">
        <v>31738731</v>
      </c>
      <c r="D21">
        <v>13613873</v>
      </c>
      <c r="E21">
        <v>5552138</v>
      </c>
      <c r="F21">
        <v>1981275</v>
      </c>
      <c r="G21">
        <v>1060359</v>
      </c>
      <c r="AF21">
        <f t="shared" si="0"/>
        <v>130662754</v>
      </c>
    </row>
    <row r="22" spans="1:32">
      <c r="A22">
        <v>1988</v>
      </c>
      <c r="B22">
        <v>64846503</v>
      </c>
      <c r="C22">
        <v>30404986</v>
      </c>
      <c r="D22">
        <v>11481600</v>
      </c>
      <c r="E22">
        <v>6375221</v>
      </c>
      <c r="F22">
        <v>2287823</v>
      </c>
      <c r="G22">
        <v>1158246</v>
      </c>
      <c r="AF22">
        <f t="shared" si="0"/>
        <v>116554379</v>
      </c>
    </row>
    <row r="23" spans="1:32">
      <c r="A23">
        <v>1989</v>
      </c>
      <c r="B23">
        <v>77203682</v>
      </c>
      <c r="C23">
        <v>25869754</v>
      </c>
      <c r="D23">
        <v>10443281</v>
      </c>
      <c r="E23">
        <v>5476431</v>
      </c>
      <c r="F23">
        <v>2520662</v>
      </c>
      <c r="G23">
        <v>1514983</v>
      </c>
      <c r="AF23">
        <f t="shared" si="0"/>
        <v>123028793</v>
      </c>
    </row>
    <row r="24" spans="1:32">
      <c r="A24">
        <v>1990</v>
      </c>
      <c r="B24">
        <v>76037148</v>
      </c>
      <c r="C24">
        <v>30903586</v>
      </c>
      <c r="D24">
        <v>8967535</v>
      </c>
      <c r="E24">
        <v>5044810</v>
      </c>
      <c r="F24">
        <v>2135131</v>
      </c>
      <c r="G24">
        <v>1458268</v>
      </c>
      <c r="AF24">
        <f t="shared" si="0"/>
        <v>124546478</v>
      </c>
    </row>
    <row r="25" spans="1:32">
      <c r="A25">
        <v>1991</v>
      </c>
      <c r="B25">
        <v>72784090</v>
      </c>
      <c r="C25">
        <v>29741195</v>
      </c>
      <c r="D25">
        <v>10107236</v>
      </c>
      <c r="E25">
        <v>4213854</v>
      </c>
      <c r="F25">
        <v>1800804</v>
      </c>
      <c r="G25">
        <v>1111123</v>
      </c>
      <c r="AF25">
        <f t="shared" si="0"/>
        <v>119758302</v>
      </c>
    </row>
    <row r="26" spans="1:32">
      <c r="A26">
        <v>1992</v>
      </c>
      <c r="B26">
        <v>78287429</v>
      </c>
      <c r="C26">
        <v>28618851</v>
      </c>
      <c r="D26">
        <v>9843874</v>
      </c>
      <c r="E26">
        <v>4691539</v>
      </c>
      <c r="F26">
        <v>1520016</v>
      </c>
      <c r="G26">
        <v>924179</v>
      </c>
      <c r="AF26">
        <f t="shared" si="0"/>
        <v>123885888</v>
      </c>
    </row>
    <row r="27" spans="1:32">
      <c r="A27">
        <v>1993</v>
      </c>
      <c r="B27">
        <v>85357863</v>
      </c>
      <c r="C27">
        <v>31180950</v>
      </c>
      <c r="D27">
        <v>9637669</v>
      </c>
      <c r="E27">
        <v>4508054</v>
      </c>
      <c r="F27">
        <v>1650493</v>
      </c>
      <c r="G27">
        <v>709991</v>
      </c>
      <c r="AF27">
        <f t="shared" si="0"/>
        <v>133045020</v>
      </c>
    </row>
    <row r="28" spans="1:32">
      <c r="A28">
        <v>1994</v>
      </c>
      <c r="B28">
        <v>66046971</v>
      </c>
      <c r="C28">
        <v>32762578</v>
      </c>
      <c r="D28">
        <v>10561550</v>
      </c>
      <c r="E28">
        <v>4186588</v>
      </c>
      <c r="F28">
        <v>1497811</v>
      </c>
      <c r="G28">
        <v>714638</v>
      </c>
      <c r="AF28">
        <f t="shared" si="0"/>
        <v>115770136</v>
      </c>
    </row>
    <row r="29" spans="1:32">
      <c r="A29">
        <v>1995</v>
      </c>
      <c r="B29">
        <v>64342847</v>
      </c>
      <c r="C29">
        <v>26448642</v>
      </c>
      <c r="D29">
        <v>10604413</v>
      </c>
      <c r="E29">
        <v>4217068</v>
      </c>
      <c r="F29">
        <v>1518291</v>
      </c>
      <c r="G29">
        <v>612047</v>
      </c>
      <c r="AF29">
        <f t="shared" si="0"/>
        <v>107743308</v>
      </c>
    </row>
    <row r="30" spans="1:32">
      <c r="A30">
        <v>1996</v>
      </c>
      <c r="B30">
        <v>65509933</v>
      </c>
      <c r="C30">
        <v>25537116</v>
      </c>
      <c r="D30">
        <v>8755474</v>
      </c>
      <c r="E30">
        <v>4704882</v>
      </c>
      <c r="F30">
        <v>1597465</v>
      </c>
      <c r="G30">
        <v>603493</v>
      </c>
      <c r="AF30">
        <f t="shared" si="0"/>
        <v>106708363</v>
      </c>
    </row>
    <row r="31" spans="1:32">
      <c r="A31">
        <v>1997</v>
      </c>
      <c r="B31">
        <v>75340574</v>
      </c>
      <c r="C31">
        <v>25929690</v>
      </c>
      <c r="D31">
        <v>7997868</v>
      </c>
      <c r="E31">
        <v>3861896</v>
      </c>
      <c r="F31">
        <v>1762390</v>
      </c>
      <c r="G31">
        <v>661222</v>
      </c>
      <c r="AF31">
        <f t="shared" si="0"/>
        <v>115553640</v>
      </c>
    </row>
    <row r="32" spans="1:32">
      <c r="A32">
        <v>1998</v>
      </c>
      <c r="B32">
        <v>98003055</v>
      </c>
      <c r="C32">
        <v>30539894</v>
      </c>
      <c r="D32">
        <v>7802800</v>
      </c>
      <c r="E32">
        <v>3601453</v>
      </c>
      <c r="F32">
        <v>1541081</v>
      </c>
      <c r="G32">
        <v>779118</v>
      </c>
      <c r="AF32">
        <f t="shared" si="0"/>
        <v>142267401</v>
      </c>
    </row>
    <row r="33" spans="1:32">
      <c r="A33">
        <v>1999</v>
      </c>
      <c r="B33">
        <v>73336903</v>
      </c>
      <c r="C33">
        <v>40619133</v>
      </c>
      <c r="D33">
        <v>9122333</v>
      </c>
      <c r="E33">
        <v>3373072</v>
      </c>
      <c r="F33">
        <v>1382308</v>
      </c>
      <c r="G33">
        <v>676773</v>
      </c>
      <c r="AF33">
        <f t="shared" si="0"/>
        <v>128510522</v>
      </c>
    </row>
    <row r="34" spans="1:32">
      <c r="A34">
        <v>2000</v>
      </c>
      <c r="B34">
        <v>75325217</v>
      </c>
      <c r="C34">
        <v>29000900</v>
      </c>
      <c r="D34">
        <v>10876238</v>
      </c>
      <c r="E34">
        <v>3767123</v>
      </c>
      <c r="F34">
        <v>1279359</v>
      </c>
      <c r="G34">
        <v>690498</v>
      </c>
      <c r="AF34">
        <f t="shared" si="0"/>
        <v>120939335</v>
      </c>
    </row>
    <row r="35" spans="1:32">
      <c r="A35">
        <v>2001</v>
      </c>
      <c r="B35">
        <v>74596913</v>
      </c>
      <c r="C35">
        <v>28449033</v>
      </c>
      <c r="D35">
        <v>9277636</v>
      </c>
      <c r="E35">
        <v>5046264</v>
      </c>
      <c r="F35">
        <v>1259765</v>
      </c>
      <c r="G35">
        <v>672361</v>
      </c>
      <c r="AF35">
        <f t="shared" si="0"/>
        <v>119301972</v>
      </c>
    </row>
    <row r="36" spans="1:32">
      <c r="A36">
        <v>2002</v>
      </c>
      <c r="B36">
        <v>63752837</v>
      </c>
      <c r="C36">
        <v>28694907</v>
      </c>
      <c r="D36">
        <v>6493603</v>
      </c>
      <c r="E36">
        <v>3955502</v>
      </c>
      <c r="F36">
        <v>1859638</v>
      </c>
      <c r="G36">
        <v>600154</v>
      </c>
      <c r="AF36">
        <f t="shared" si="0"/>
        <v>105356641</v>
      </c>
    </row>
    <row r="37" spans="1:32">
      <c r="A37">
        <v>2003</v>
      </c>
      <c r="B37">
        <v>60786265</v>
      </c>
      <c r="C37">
        <v>24016188</v>
      </c>
      <c r="D37">
        <v>7767734</v>
      </c>
      <c r="E37">
        <v>2876174</v>
      </c>
      <c r="F37">
        <v>1537592</v>
      </c>
      <c r="G37">
        <v>858686</v>
      </c>
      <c r="AF37">
        <f t="shared" si="0"/>
        <v>97842639</v>
      </c>
    </row>
    <row r="38" spans="1:32">
      <c r="A38">
        <v>2004</v>
      </c>
      <c r="B38">
        <v>72462957</v>
      </c>
      <c r="C38">
        <v>22874481</v>
      </c>
      <c r="D38">
        <v>6253523</v>
      </c>
      <c r="E38">
        <v>3533996</v>
      </c>
      <c r="F38">
        <v>1031846</v>
      </c>
      <c r="G38">
        <v>877243</v>
      </c>
      <c r="AF38">
        <f t="shared" si="0"/>
        <v>107034046</v>
      </c>
    </row>
    <row r="39" spans="1:32">
      <c r="A39">
        <v>2005</v>
      </c>
      <c r="B39">
        <v>76513359</v>
      </c>
      <c r="C39">
        <v>27958868</v>
      </c>
      <c r="D39">
        <v>6598809</v>
      </c>
      <c r="E39">
        <v>2604309</v>
      </c>
      <c r="F39">
        <v>1313439</v>
      </c>
      <c r="G39">
        <v>710025</v>
      </c>
      <c r="AF39">
        <f t="shared" si="0"/>
        <v>115698809</v>
      </c>
    </row>
    <row r="40" spans="1:32">
      <c r="A40">
        <v>2006</v>
      </c>
      <c r="B40">
        <v>77510633</v>
      </c>
      <c r="C40">
        <v>30626702</v>
      </c>
      <c r="D40">
        <v>8246090</v>
      </c>
      <c r="E40">
        <v>2974363</v>
      </c>
      <c r="F40">
        <v>1017607</v>
      </c>
      <c r="G40">
        <v>731458</v>
      </c>
      <c r="AF40">
        <f t="shared" si="0"/>
        <v>121106853</v>
      </c>
    </row>
    <row r="43" spans="1:32">
      <c r="AF43" t="str">
        <f t="shared" si="0"/>
        <v/>
      </c>
    </row>
    <row r="44" spans="1:32">
      <c r="AF44" t="str">
        <f t="shared" si="0"/>
        <v/>
      </c>
    </row>
    <row r="45" spans="1:32">
      <c r="AF45" t="str">
        <f t="shared" si="0"/>
        <v/>
      </c>
    </row>
    <row r="46" spans="1:32">
      <c r="AF46" t="str">
        <f t="shared" si="0"/>
        <v/>
      </c>
    </row>
    <row r="47" spans="1:32">
      <c r="AF47" t="str">
        <f t="shared" si="0"/>
        <v/>
      </c>
    </row>
    <row r="48" spans="1:32">
      <c r="AF48" t="str">
        <f t="shared" si="0"/>
        <v/>
      </c>
    </row>
    <row r="49" spans="32:32">
      <c r="AF49" t="str">
        <f t="shared" si="0"/>
        <v/>
      </c>
    </row>
    <row r="50" spans="32:32">
      <c r="AF50" t="str">
        <f t="shared" si="0"/>
        <v/>
      </c>
    </row>
    <row r="51" spans="32:32">
      <c r="AF51" t="str">
        <f t="shared" si="0"/>
        <v/>
      </c>
    </row>
    <row r="53" spans="32:32">
      <c r="AF53" t="str">
        <f t="shared" si="0"/>
        <v/>
      </c>
    </row>
    <row r="54" spans="32:32">
      <c r="AF54" t="str">
        <f t="shared" si="0"/>
        <v/>
      </c>
    </row>
    <row r="55" spans="32:32">
      <c r="AF55" t="str">
        <f t="shared" si="0"/>
        <v/>
      </c>
    </row>
    <row r="56" spans="32:32">
      <c r="AF56" t="str">
        <f t="shared" si="0"/>
        <v/>
      </c>
    </row>
    <row r="57" spans="32:32">
      <c r="AF57" t="str">
        <f t="shared" si="0"/>
        <v/>
      </c>
    </row>
    <row r="58" spans="32:32">
      <c r="AF58" t="str">
        <f t="shared" si="0"/>
        <v/>
      </c>
    </row>
    <row r="59" spans="32:32">
      <c r="AF59" t="str">
        <f t="shared" si="0"/>
        <v/>
      </c>
    </row>
    <row r="60" spans="32:32">
      <c r="AF60" t="str">
        <f t="shared" si="0"/>
        <v/>
      </c>
    </row>
    <row r="61" spans="32:32">
      <c r="AF61" t="str">
        <f t="shared" si="0"/>
        <v/>
      </c>
    </row>
    <row r="62" spans="32:32">
      <c r="AF62" t="str">
        <f t="shared" si="0"/>
        <v/>
      </c>
    </row>
    <row r="63" spans="32:32">
      <c r="AF63" t="str">
        <f t="shared" si="0"/>
        <v/>
      </c>
    </row>
    <row r="64" spans="32:32">
      <c r="AF64" t="str">
        <f t="shared" si="0"/>
        <v/>
      </c>
    </row>
    <row r="65" spans="32:32">
      <c r="AF65" t="str">
        <f t="shared" si="0"/>
        <v/>
      </c>
    </row>
    <row r="66" spans="32:32">
      <c r="AF66" t="str">
        <f t="shared" si="0"/>
        <v/>
      </c>
    </row>
    <row r="67" spans="32:32">
      <c r="AF67" t="str">
        <f t="shared" si="0"/>
        <v/>
      </c>
    </row>
    <row r="68" spans="32:32">
      <c r="AF68" t="str">
        <f t="shared" si="0"/>
        <v/>
      </c>
    </row>
    <row r="69" spans="32:32">
      <c r="AF69" t="str">
        <f t="shared" ref="AF69:AF99" si="1">IF(B69&gt;0,SUM(B69:AE69),"")</f>
        <v/>
      </c>
    </row>
    <row r="70" spans="32:32">
      <c r="AF70" t="str">
        <f t="shared" si="1"/>
        <v/>
      </c>
    </row>
    <row r="71" spans="32:32">
      <c r="AF71" t="str">
        <f t="shared" si="1"/>
        <v/>
      </c>
    </row>
    <row r="72" spans="32:32">
      <c r="AF72" t="str">
        <f t="shared" si="1"/>
        <v/>
      </c>
    </row>
    <row r="73" spans="32:32">
      <c r="AF73" t="str">
        <f t="shared" si="1"/>
        <v/>
      </c>
    </row>
    <row r="74" spans="32:32">
      <c r="AF74" t="str">
        <f t="shared" si="1"/>
        <v/>
      </c>
    </row>
    <row r="75" spans="32:32">
      <c r="AF75" t="str">
        <f t="shared" si="1"/>
        <v/>
      </c>
    </row>
    <row r="76" spans="32:32">
      <c r="AF76" t="str">
        <f t="shared" si="1"/>
        <v/>
      </c>
    </row>
    <row r="77" spans="32:32">
      <c r="AF77" t="str">
        <f t="shared" si="1"/>
        <v/>
      </c>
    </row>
    <row r="78" spans="32:32">
      <c r="AF78" t="str">
        <f t="shared" si="1"/>
        <v/>
      </c>
    </row>
    <row r="79" spans="32:32">
      <c r="AF79" t="str">
        <f t="shared" si="1"/>
        <v/>
      </c>
    </row>
    <row r="80" spans="32:32">
      <c r="AF80" t="str">
        <f t="shared" si="1"/>
        <v/>
      </c>
    </row>
    <row r="81" spans="32:32">
      <c r="AF81" t="str">
        <f t="shared" si="1"/>
        <v/>
      </c>
    </row>
    <row r="82" spans="32:32">
      <c r="AF82" t="str">
        <f t="shared" si="1"/>
        <v/>
      </c>
    </row>
    <row r="83" spans="32:32">
      <c r="AF83" t="str">
        <f t="shared" si="1"/>
        <v/>
      </c>
    </row>
    <row r="84" spans="32:32">
      <c r="AF84" t="str">
        <f t="shared" si="1"/>
        <v/>
      </c>
    </row>
    <row r="85" spans="32:32">
      <c r="AF85" t="str">
        <f t="shared" si="1"/>
        <v/>
      </c>
    </row>
    <row r="86" spans="32:32">
      <c r="AF86" t="str">
        <f t="shared" si="1"/>
        <v/>
      </c>
    </row>
    <row r="87" spans="32:32">
      <c r="AF87" t="str">
        <f t="shared" si="1"/>
        <v/>
      </c>
    </row>
    <row r="88" spans="32:32">
      <c r="AF88" t="str">
        <f t="shared" si="1"/>
        <v/>
      </c>
    </row>
    <row r="89" spans="32:32">
      <c r="AF89" t="str">
        <f t="shared" si="1"/>
        <v/>
      </c>
    </row>
    <row r="90" spans="32:32">
      <c r="AF90" t="str">
        <f t="shared" si="1"/>
        <v/>
      </c>
    </row>
    <row r="91" spans="32:32">
      <c r="AF91" t="str">
        <f t="shared" si="1"/>
        <v/>
      </c>
    </row>
    <row r="92" spans="32:32">
      <c r="AF92" t="str">
        <f t="shared" si="1"/>
        <v/>
      </c>
    </row>
    <row r="93" spans="32:32">
      <c r="AF93" t="str">
        <f t="shared" si="1"/>
        <v/>
      </c>
    </row>
    <row r="94" spans="32:32">
      <c r="AF94" t="str">
        <f t="shared" si="1"/>
        <v/>
      </c>
    </row>
    <row r="95" spans="32:32">
      <c r="AF95" t="str">
        <f t="shared" si="1"/>
        <v/>
      </c>
    </row>
    <row r="96" spans="32:32">
      <c r="AF96" t="str">
        <f t="shared" si="1"/>
        <v/>
      </c>
    </row>
    <row r="97" spans="32:32">
      <c r="AF97" t="str">
        <f t="shared" si="1"/>
        <v/>
      </c>
    </row>
    <row r="98" spans="32:32">
      <c r="AF98" t="str">
        <f t="shared" si="1"/>
        <v/>
      </c>
    </row>
    <row r="99" spans="32:32">
      <c r="AF99" t="str">
        <f t="shared" si="1"/>
        <v/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/>
  <dimension ref="A2:AF100"/>
  <sheetViews>
    <sheetView topLeftCell="A32" workbookViewId="0">
      <selection activeCell="N6" sqref="N6"/>
    </sheetView>
  </sheetViews>
  <sheetFormatPr defaultRowHeight="12.75"/>
  <sheetData>
    <row r="2" spans="1:32">
      <c r="A2" t="s">
        <v>33</v>
      </c>
      <c r="D2" t="s">
        <v>3</v>
      </c>
      <c r="E2">
        <v>1</v>
      </c>
    </row>
    <row r="3" spans="1:32">
      <c r="A3" t="s">
        <v>0</v>
      </c>
      <c r="B3" s="6" t="s">
        <v>124</v>
      </c>
      <c r="C3" s="6" t="s">
        <v>4</v>
      </c>
      <c r="D3" s="6" t="s">
        <v>5</v>
      </c>
      <c r="E3" s="6" t="s">
        <v>6</v>
      </c>
      <c r="F3" s="6" t="s">
        <v>7</v>
      </c>
      <c r="G3" s="6" t="s">
        <v>8</v>
      </c>
      <c r="H3" s="6" t="s">
        <v>9</v>
      </c>
      <c r="I3" s="6" t="s">
        <v>10</v>
      </c>
      <c r="J3" s="6" t="s">
        <v>11</v>
      </c>
      <c r="K3" s="6" t="s">
        <v>12</v>
      </c>
      <c r="L3" s="6" t="s">
        <v>13</v>
      </c>
      <c r="M3" s="6" t="s">
        <v>123</v>
      </c>
      <c r="N3" s="6" t="s">
        <v>14</v>
      </c>
      <c r="O3" s="6" t="s">
        <v>15</v>
      </c>
      <c r="P3" s="6" t="s">
        <v>16</v>
      </c>
      <c r="Q3" s="6" t="s">
        <v>17</v>
      </c>
      <c r="R3" s="6" t="s">
        <v>18</v>
      </c>
      <c r="S3" s="6" t="s">
        <v>19</v>
      </c>
      <c r="T3" s="6" t="s">
        <v>20</v>
      </c>
      <c r="U3" s="6" t="s">
        <v>21</v>
      </c>
      <c r="V3" s="6" t="s">
        <v>22</v>
      </c>
      <c r="W3" s="6" t="s">
        <v>23</v>
      </c>
      <c r="X3" s="6" t="s">
        <v>24</v>
      </c>
      <c r="Y3" s="6" t="s">
        <v>25</v>
      </c>
      <c r="Z3" s="6" t="s">
        <v>26</v>
      </c>
      <c r="AA3" s="6" t="s">
        <v>27</v>
      </c>
      <c r="AB3" s="6" t="s">
        <v>28</v>
      </c>
      <c r="AC3" s="6" t="s">
        <v>29</v>
      </c>
      <c r="AD3" s="6" t="s">
        <v>30</v>
      </c>
      <c r="AE3" s="6" t="s">
        <v>31</v>
      </c>
      <c r="AF3" t="s">
        <v>39</v>
      </c>
    </row>
    <row r="4" spans="1:32">
      <c r="A4">
        <v>1970</v>
      </c>
      <c r="B4">
        <v>361290</v>
      </c>
      <c r="C4">
        <v>2229482</v>
      </c>
      <c r="D4">
        <v>607301</v>
      </c>
      <c r="E4">
        <v>650369</v>
      </c>
      <c r="F4">
        <v>335068</v>
      </c>
      <c r="G4">
        <v>85575</v>
      </c>
      <c r="AF4">
        <f>IF(B4&gt;0,SUM(B4:AE4),"" )</f>
        <v>4269085</v>
      </c>
    </row>
    <row r="5" spans="1:32">
      <c r="A5">
        <v>1971</v>
      </c>
      <c r="B5">
        <v>344448</v>
      </c>
      <c r="C5">
        <v>1977021</v>
      </c>
      <c r="D5">
        <v>1287353</v>
      </c>
      <c r="E5">
        <v>474486</v>
      </c>
      <c r="F5">
        <v>293744</v>
      </c>
      <c r="G5">
        <v>72602</v>
      </c>
      <c r="AF5">
        <f t="shared" ref="AF5:AF68" si="0">IF(B5&gt;0,SUM(B5:AE5),"" )</f>
        <v>4449654</v>
      </c>
    </row>
    <row r="6" spans="1:32">
      <c r="A6">
        <v>1972</v>
      </c>
      <c r="B6">
        <v>370595</v>
      </c>
      <c r="C6">
        <v>2052767</v>
      </c>
      <c r="D6">
        <v>1492978</v>
      </c>
      <c r="E6">
        <v>786068</v>
      </c>
      <c r="F6">
        <v>289931</v>
      </c>
      <c r="G6">
        <v>91172</v>
      </c>
      <c r="AF6">
        <f t="shared" si="0"/>
        <v>5083511</v>
      </c>
    </row>
    <row r="7" spans="1:32">
      <c r="A7">
        <v>1973</v>
      </c>
      <c r="B7">
        <v>243206</v>
      </c>
      <c r="C7">
        <v>1577104</v>
      </c>
      <c r="D7">
        <v>1251198</v>
      </c>
      <c r="E7">
        <v>811921</v>
      </c>
      <c r="F7">
        <v>370436</v>
      </c>
      <c r="G7">
        <v>103603</v>
      </c>
      <c r="AF7">
        <f t="shared" si="0"/>
        <v>4357468</v>
      </c>
    </row>
    <row r="8" spans="1:32">
      <c r="A8">
        <v>1974</v>
      </c>
      <c r="B8">
        <v>886952</v>
      </c>
      <c r="C8">
        <v>2496615</v>
      </c>
      <c r="D8">
        <v>1274896</v>
      </c>
      <c r="E8">
        <v>897957</v>
      </c>
      <c r="F8">
        <v>403301</v>
      </c>
      <c r="G8">
        <v>115146</v>
      </c>
      <c r="AF8">
        <f t="shared" si="0"/>
        <v>6074867</v>
      </c>
    </row>
    <row r="9" spans="1:32">
      <c r="A9">
        <v>1975</v>
      </c>
      <c r="B9">
        <v>1850686</v>
      </c>
      <c r="C9">
        <v>2801854</v>
      </c>
      <c r="D9">
        <v>1719568</v>
      </c>
      <c r="E9">
        <v>842170</v>
      </c>
      <c r="F9">
        <v>602660</v>
      </c>
      <c r="G9">
        <v>162022</v>
      </c>
      <c r="AF9">
        <f t="shared" si="0"/>
        <v>7978960</v>
      </c>
    </row>
    <row r="10" spans="1:32">
      <c r="A10">
        <v>1976</v>
      </c>
      <c r="B10">
        <v>2183572</v>
      </c>
      <c r="C10">
        <v>3635133</v>
      </c>
      <c r="D10">
        <v>1388487</v>
      </c>
      <c r="E10">
        <v>867883</v>
      </c>
      <c r="F10">
        <v>547868</v>
      </c>
      <c r="G10">
        <v>148267</v>
      </c>
      <c r="AF10">
        <f t="shared" si="0"/>
        <v>8771210</v>
      </c>
    </row>
    <row r="11" spans="1:32">
      <c r="A11">
        <v>1977</v>
      </c>
      <c r="B11">
        <v>1488116</v>
      </c>
      <c r="C11">
        <v>4057058</v>
      </c>
      <c r="D11">
        <v>1711726</v>
      </c>
      <c r="E11">
        <v>970685</v>
      </c>
      <c r="F11">
        <v>504842</v>
      </c>
      <c r="G11">
        <v>105140</v>
      </c>
      <c r="AF11">
        <f t="shared" si="0"/>
        <v>8837567</v>
      </c>
    </row>
    <row r="12" spans="1:32">
      <c r="A12">
        <v>1978</v>
      </c>
      <c r="B12">
        <v>1592943</v>
      </c>
      <c r="C12">
        <v>3664928</v>
      </c>
      <c r="D12">
        <v>1963323</v>
      </c>
      <c r="E12">
        <v>1155362</v>
      </c>
      <c r="F12">
        <v>441937</v>
      </c>
      <c r="G12">
        <v>60903</v>
      </c>
      <c r="AF12">
        <f t="shared" si="0"/>
        <v>8879396</v>
      </c>
    </row>
    <row r="13" spans="1:32">
      <c r="A13">
        <v>1979</v>
      </c>
      <c r="B13">
        <v>2028285</v>
      </c>
      <c r="C13">
        <v>3775358</v>
      </c>
      <c r="D13">
        <v>1022740</v>
      </c>
      <c r="E13">
        <v>1156845</v>
      </c>
      <c r="F13">
        <v>537482</v>
      </c>
      <c r="G13">
        <v>73775</v>
      </c>
      <c r="AF13">
        <f t="shared" si="0"/>
        <v>8594485</v>
      </c>
    </row>
    <row r="14" spans="1:32">
      <c r="A14">
        <v>1980</v>
      </c>
      <c r="B14">
        <v>3200008</v>
      </c>
      <c r="C14">
        <v>4016663</v>
      </c>
      <c r="D14">
        <v>1247358</v>
      </c>
      <c r="E14">
        <v>972350</v>
      </c>
      <c r="F14">
        <v>532110</v>
      </c>
      <c r="G14">
        <v>83719</v>
      </c>
      <c r="AF14">
        <f t="shared" si="0"/>
        <v>10052208</v>
      </c>
    </row>
    <row r="15" spans="1:32">
      <c r="A15">
        <v>1981</v>
      </c>
      <c r="B15">
        <v>6758071</v>
      </c>
      <c r="C15">
        <v>4062149</v>
      </c>
      <c r="D15">
        <v>1479983</v>
      </c>
      <c r="E15">
        <v>926044</v>
      </c>
      <c r="F15">
        <v>810154</v>
      </c>
      <c r="G15">
        <v>139639</v>
      </c>
      <c r="AF15">
        <f t="shared" si="0"/>
        <v>14176040</v>
      </c>
    </row>
    <row r="16" spans="1:32">
      <c r="A16">
        <v>1982</v>
      </c>
      <c r="B16">
        <v>2657563</v>
      </c>
      <c r="C16">
        <v>6800765</v>
      </c>
      <c r="D16">
        <v>1379253</v>
      </c>
      <c r="E16">
        <v>1214320</v>
      </c>
      <c r="F16">
        <v>710570</v>
      </c>
      <c r="G16">
        <v>142131</v>
      </c>
      <c r="AF16">
        <f t="shared" si="0"/>
        <v>12904602</v>
      </c>
    </row>
    <row r="17" spans="1:32">
      <c r="A17">
        <v>1983</v>
      </c>
      <c r="B17">
        <v>4323476</v>
      </c>
      <c r="C17">
        <v>4680819</v>
      </c>
      <c r="D17">
        <v>1680974</v>
      </c>
      <c r="E17">
        <v>1290371</v>
      </c>
      <c r="F17">
        <v>704840</v>
      </c>
      <c r="G17">
        <v>128569</v>
      </c>
      <c r="AF17">
        <f t="shared" si="0"/>
        <v>12809049</v>
      </c>
    </row>
    <row r="18" spans="1:32">
      <c r="A18">
        <v>1984</v>
      </c>
      <c r="B18">
        <v>2901125</v>
      </c>
      <c r="C18">
        <v>6946804</v>
      </c>
      <c r="D18">
        <v>1953147</v>
      </c>
      <c r="E18">
        <v>861417</v>
      </c>
      <c r="F18">
        <v>211065</v>
      </c>
      <c r="G18">
        <v>30274</v>
      </c>
      <c r="AF18">
        <f t="shared" si="0"/>
        <v>12903832</v>
      </c>
    </row>
    <row r="19" spans="1:32">
      <c r="A19">
        <v>1985</v>
      </c>
      <c r="B19">
        <v>4268983</v>
      </c>
      <c r="C19">
        <v>4165569</v>
      </c>
      <c r="D19">
        <v>2143130</v>
      </c>
      <c r="E19">
        <v>957578</v>
      </c>
      <c r="F19">
        <v>738008</v>
      </c>
      <c r="G19">
        <v>69106</v>
      </c>
      <c r="AF19">
        <f t="shared" si="0"/>
        <v>12342374</v>
      </c>
    </row>
    <row r="20" spans="1:32">
      <c r="A20">
        <v>1986</v>
      </c>
      <c r="B20">
        <v>3706439</v>
      </c>
      <c r="C20">
        <v>4362541</v>
      </c>
      <c r="D20">
        <v>1306129</v>
      </c>
      <c r="E20">
        <v>1351567</v>
      </c>
      <c r="F20">
        <v>586169</v>
      </c>
      <c r="G20">
        <v>68951</v>
      </c>
      <c r="AF20">
        <f t="shared" si="0"/>
        <v>11381796</v>
      </c>
    </row>
    <row r="21" spans="1:32">
      <c r="A21">
        <v>1987</v>
      </c>
      <c r="B21">
        <v>6280192</v>
      </c>
      <c r="C21">
        <v>4318997</v>
      </c>
      <c r="D21">
        <v>1513905</v>
      </c>
      <c r="E21">
        <v>1055188</v>
      </c>
      <c r="F21">
        <v>652139</v>
      </c>
      <c r="G21">
        <v>65881</v>
      </c>
      <c r="AF21">
        <f t="shared" si="0"/>
        <v>13886302</v>
      </c>
    </row>
    <row r="22" spans="1:32">
      <c r="A22">
        <v>1988</v>
      </c>
      <c r="B22">
        <v>5045170</v>
      </c>
      <c r="C22">
        <v>5018133</v>
      </c>
      <c r="D22">
        <v>1138051</v>
      </c>
      <c r="E22">
        <v>1362108</v>
      </c>
      <c r="F22">
        <v>479093</v>
      </c>
      <c r="G22">
        <v>44092</v>
      </c>
      <c r="AF22">
        <f t="shared" si="0"/>
        <v>13086647</v>
      </c>
    </row>
    <row r="23" spans="1:32">
      <c r="A23">
        <v>1989</v>
      </c>
      <c r="B23">
        <v>5844442</v>
      </c>
      <c r="C23">
        <v>4139343</v>
      </c>
      <c r="D23">
        <v>946698</v>
      </c>
      <c r="E23">
        <v>1212904</v>
      </c>
      <c r="F23">
        <v>945449</v>
      </c>
      <c r="G23">
        <v>121843</v>
      </c>
      <c r="AF23">
        <f t="shared" si="0"/>
        <v>13210679</v>
      </c>
    </row>
    <row r="24" spans="1:32">
      <c r="A24">
        <v>1990</v>
      </c>
      <c r="B24">
        <v>6840077</v>
      </c>
      <c r="C24">
        <v>5910204</v>
      </c>
      <c r="D24">
        <v>977104</v>
      </c>
      <c r="E24">
        <v>1354542</v>
      </c>
      <c r="F24">
        <v>1052048</v>
      </c>
      <c r="G24">
        <v>177816</v>
      </c>
      <c r="AF24">
        <f t="shared" si="0"/>
        <v>16311791</v>
      </c>
    </row>
    <row r="25" spans="1:32">
      <c r="A25">
        <v>1991</v>
      </c>
      <c r="B25">
        <v>6313402</v>
      </c>
      <c r="C25">
        <v>5500947</v>
      </c>
      <c r="D25">
        <v>1181880</v>
      </c>
      <c r="E25">
        <v>1108701</v>
      </c>
      <c r="F25">
        <v>832673</v>
      </c>
      <c r="G25">
        <v>126849</v>
      </c>
      <c r="AF25">
        <f t="shared" si="0"/>
        <v>15064452</v>
      </c>
    </row>
    <row r="26" spans="1:32">
      <c r="A26">
        <v>1992</v>
      </c>
      <c r="B26">
        <v>6170239</v>
      </c>
      <c r="C26">
        <v>5029419</v>
      </c>
      <c r="D26">
        <v>1236534</v>
      </c>
      <c r="E26">
        <v>1294467</v>
      </c>
      <c r="F26">
        <v>780051</v>
      </c>
      <c r="G26">
        <v>124612</v>
      </c>
      <c r="AF26">
        <f t="shared" si="0"/>
        <v>14635322</v>
      </c>
    </row>
    <row r="27" spans="1:32">
      <c r="A27">
        <v>1993</v>
      </c>
      <c r="B27">
        <v>8654594</v>
      </c>
      <c r="C27">
        <v>5382283</v>
      </c>
      <c r="D27">
        <v>1528458</v>
      </c>
      <c r="E27">
        <v>1371075</v>
      </c>
      <c r="F27">
        <v>745384</v>
      </c>
      <c r="G27">
        <v>81507</v>
      </c>
      <c r="AF27">
        <f t="shared" si="0"/>
        <v>17763301</v>
      </c>
    </row>
    <row r="28" spans="1:32">
      <c r="A28">
        <v>1994</v>
      </c>
      <c r="B28">
        <v>4983084</v>
      </c>
      <c r="C28">
        <v>6443400</v>
      </c>
      <c r="D28">
        <v>2198100</v>
      </c>
      <c r="E28">
        <v>1089902</v>
      </c>
      <c r="F28">
        <v>762615</v>
      </c>
      <c r="G28">
        <v>100493</v>
      </c>
      <c r="AF28">
        <f t="shared" si="0"/>
        <v>15577594</v>
      </c>
    </row>
    <row r="29" spans="1:32">
      <c r="A29">
        <v>1995</v>
      </c>
      <c r="B29">
        <v>5210909</v>
      </c>
      <c r="C29">
        <v>4889679</v>
      </c>
      <c r="D29">
        <v>1543835</v>
      </c>
      <c r="E29">
        <v>1000446</v>
      </c>
      <c r="F29">
        <v>724878</v>
      </c>
      <c r="G29">
        <v>82982</v>
      </c>
      <c r="AF29">
        <f t="shared" si="0"/>
        <v>13452729</v>
      </c>
    </row>
    <row r="30" spans="1:32">
      <c r="A30">
        <v>1996</v>
      </c>
      <c r="B30">
        <v>5415623</v>
      </c>
      <c r="C30">
        <v>5453178</v>
      </c>
      <c r="D30">
        <v>1306456</v>
      </c>
      <c r="E30">
        <v>1144517</v>
      </c>
      <c r="F30">
        <v>699652</v>
      </c>
      <c r="G30">
        <v>77460</v>
      </c>
      <c r="AF30">
        <f t="shared" si="0"/>
        <v>14096886</v>
      </c>
    </row>
    <row r="31" spans="1:32">
      <c r="A31">
        <v>1997</v>
      </c>
      <c r="B31">
        <v>5109588</v>
      </c>
      <c r="C31">
        <v>6051401</v>
      </c>
      <c r="D31">
        <v>1090160</v>
      </c>
      <c r="E31">
        <v>805058</v>
      </c>
      <c r="F31">
        <v>697640</v>
      </c>
      <c r="G31">
        <v>81796</v>
      </c>
      <c r="AF31">
        <f t="shared" si="0"/>
        <v>13835643</v>
      </c>
    </row>
    <row r="32" spans="1:32">
      <c r="A32">
        <v>1998</v>
      </c>
      <c r="B32">
        <v>5261746</v>
      </c>
      <c r="C32">
        <v>7237372</v>
      </c>
      <c r="D32">
        <v>1260581</v>
      </c>
      <c r="E32">
        <v>828678</v>
      </c>
      <c r="F32">
        <v>716679</v>
      </c>
      <c r="G32">
        <v>132870</v>
      </c>
      <c r="AF32">
        <f t="shared" si="0"/>
        <v>15437926</v>
      </c>
    </row>
    <row r="33" spans="1:32">
      <c r="A33">
        <v>1999</v>
      </c>
      <c r="B33">
        <v>6104314</v>
      </c>
      <c r="C33">
        <v>11684800</v>
      </c>
      <c r="D33">
        <v>1722161</v>
      </c>
      <c r="E33">
        <v>797909</v>
      </c>
      <c r="F33">
        <v>524019</v>
      </c>
      <c r="G33">
        <v>96085</v>
      </c>
      <c r="AF33">
        <f t="shared" si="0"/>
        <v>20929288</v>
      </c>
    </row>
    <row r="34" spans="1:32">
      <c r="A34">
        <v>2000</v>
      </c>
      <c r="B34">
        <v>8362333</v>
      </c>
      <c r="C34">
        <v>5878954</v>
      </c>
      <c r="D34">
        <v>1274923</v>
      </c>
      <c r="E34">
        <v>1133947</v>
      </c>
      <c r="F34">
        <v>475691</v>
      </c>
      <c r="G34">
        <v>100301</v>
      </c>
      <c r="AF34">
        <f t="shared" si="0"/>
        <v>17226149</v>
      </c>
    </row>
    <row r="35" spans="1:32">
      <c r="A35">
        <v>2001</v>
      </c>
      <c r="B35">
        <v>7465211</v>
      </c>
      <c r="C35">
        <v>10065910</v>
      </c>
      <c r="D35">
        <v>1576328</v>
      </c>
      <c r="E35">
        <v>1271341</v>
      </c>
      <c r="F35">
        <v>534448</v>
      </c>
      <c r="G35">
        <v>117632</v>
      </c>
      <c r="AF35">
        <f t="shared" si="0"/>
        <v>21030870</v>
      </c>
    </row>
    <row r="36" spans="1:32">
      <c r="A36">
        <v>2002</v>
      </c>
      <c r="B36">
        <v>7175201</v>
      </c>
      <c r="C36">
        <v>8115388</v>
      </c>
      <c r="D36">
        <v>952183</v>
      </c>
      <c r="E36">
        <v>882558</v>
      </c>
      <c r="F36">
        <v>613958</v>
      </c>
      <c r="G36">
        <v>76429</v>
      </c>
      <c r="AF36">
        <f t="shared" si="0"/>
        <v>17815717</v>
      </c>
    </row>
    <row r="37" spans="1:32">
      <c r="A37">
        <v>2003</v>
      </c>
      <c r="B37">
        <v>6879341</v>
      </c>
      <c r="C37">
        <v>7202107</v>
      </c>
      <c r="D37">
        <v>1008228</v>
      </c>
      <c r="E37">
        <v>764832</v>
      </c>
      <c r="F37">
        <v>507098</v>
      </c>
      <c r="G37">
        <v>107459</v>
      </c>
      <c r="AF37">
        <f t="shared" si="0"/>
        <v>16469065</v>
      </c>
    </row>
    <row r="38" spans="1:32">
      <c r="A38">
        <v>2004</v>
      </c>
      <c r="B38">
        <v>7118910</v>
      </c>
      <c r="C38">
        <v>5801751</v>
      </c>
      <c r="D38">
        <v>1149694</v>
      </c>
      <c r="E38">
        <v>874474</v>
      </c>
      <c r="F38">
        <v>360014</v>
      </c>
      <c r="G38">
        <v>114175</v>
      </c>
      <c r="AF38">
        <f t="shared" si="0"/>
        <v>15419018</v>
      </c>
    </row>
    <row r="39" spans="1:32">
      <c r="A39">
        <v>2005</v>
      </c>
      <c r="B39">
        <v>5792990</v>
      </c>
      <c r="C39">
        <v>6796869</v>
      </c>
      <c r="D39">
        <v>895413</v>
      </c>
      <c r="E39">
        <v>573610</v>
      </c>
      <c r="F39">
        <v>446518</v>
      </c>
      <c r="G39">
        <v>86079</v>
      </c>
      <c r="AF39">
        <f t="shared" si="0"/>
        <v>14591479</v>
      </c>
    </row>
    <row r="40" spans="1:32">
      <c r="A40">
        <v>2006</v>
      </c>
      <c r="B40">
        <v>4628314</v>
      </c>
      <c r="C40">
        <v>3926747</v>
      </c>
      <c r="D40">
        <v>1232116</v>
      </c>
      <c r="E40">
        <v>759365</v>
      </c>
      <c r="F40">
        <v>382044</v>
      </c>
      <c r="G40">
        <v>98240</v>
      </c>
      <c r="AF40">
        <f t="shared" si="0"/>
        <v>11026826</v>
      </c>
    </row>
    <row r="41" spans="1:32">
      <c r="AF41" t="str">
        <f t="shared" si="0"/>
        <v/>
      </c>
    </row>
    <row r="42" spans="1:32">
      <c r="AF42" t="str">
        <f t="shared" si="0"/>
        <v/>
      </c>
    </row>
    <row r="43" spans="1:32">
      <c r="AF43" t="str">
        <f t="shared" si="0"/>
        <v/>
      </c>
    </row>
    <row r="44" spans="1:32">
      <c r="AF44" t="str">
        <f t="shared" si="0"/>
        <v/>
      </c>
    </row>
    <row r="45" spans="1:32">
      <c r="AF45" t="str">
        <f t="shared" si="0"/>
        <v/>
      </c>
    </row>
    <row r="46" spans="1:32">
      <c r="AF46" t="str">
        <f t="shared" si="0"/>
        <v/>
      </c>
    </row>
    <row r="47" spans="1:32">
      <c r="AF47" t="str">
        <f t="shared" si="0"/>
        <v/>
      </c>
    </row>
    <row r="48" spans="1:32">
      <c r="AF48" t="str">
        <f t="shared" si="0"/>
        <v/>
      </c>
    </row>
    <row r="49" spans="32:32">
      <c r="AF49" t="str">
        <f t="shared" si="0"/>
        <v/>
      </c>
    </row>
    <row r="50" spans="32:32">
      <c r="AF50" t="str">
        <f t="shared" si="0"/>
        <v/>
      </c>
    </row>
    <row r="51" spans="32:32">
      <c r="AF51" t="str">
        <f t="shared" si="0"/>
        <v/>
      </c>
    </row>
    <row r="52" spans="32:32">
      <c r="AF52" t="str">
        <f t="shared" si="0"/>
        <v/>
      </c>
    </row>
    <row r="53" spans="32:32">
      <c r="AF53" t="str">
        <f t="shared" si="0"/>
        <v/>
      </c>
    </row>
    <row r="54" spans="32:32">
      <c r="AF54" t="str">
        <f t="shared" si="0"/>
        <v/>
      </c>
    </row>
    <row r="55" spans="32:32">
      <c r="AF55" t="str">
        <f t="shared" si="0"/>
        <v/>
      </c>
    </row>
    <row r="56" spans="32:32">
      <c r="AF56" t="str">
        <f t="shared" si="0"/>
        <v/>
      </c>
    </row>
    <row r="57" spans="32:32">
      <c r="AF57" t="str">
        <f t="shared" si="0"/>
        <v/>
      </c>
    </row>
    <row r="58" spans="32:32">
      <c r="AF58" t="str">
        <f t="shared" si="0"/>
        <v/>
      </c>
    </row>
    <row r="59" spans="32:32">
      <c r="AF59" t="str">
        <f t="shared" si="0"/>
        <v/>
      </c>
    </row>
    <row r="60" spans="32:32">
      <c r="AF60" t="str">
        <f t="shared" si="0"/>
        <v/>
      </c>
    </row>
    <row r="61" spans="32:32">
      <c r="AF61" t="str">
        <f t="shared" si="0"/>
        <v/>
      </c>
    </row>
    <row r="62" spans="32:32">
      <c r="AF62" t="str">
        <f t="shared" si="0"/>
        <v/>
      </c>
    </row>
    <row r="63" spans="32:32">
      <c r="AF63" t="str">
        <f t="shared" si="0"/>
        <v/>
      </c>
    </row>
    <row r="64" spans="32:32">
      <c r="AF64" t="str">
        <f t="shared" si="0"/>
        <v/>
      </c>
    </row>
    <row r="65" spans="32:32">
      <c r="AF65" t="str">
        <f t="shared" si="0"/>
        <v/>
      </c>
    </row>
    <row r="66" spans="32:32">
      <c r="AF66" t="str">
        <f t="shared" si="0"/>
        <v/>
      </c>
    </row>
    <row r="67" spans="32:32">
      <c r="AF67" t="str">
        <f t="shared" si="0"/>
        <v/>
      </c>
    </row>
    <row r="68" spans="32:32">
      <c r="AF68" t="str">
        <f t="shared" si="0"/>
        <v/>
      </c>
    </row>
    <row r="69" spans="32:32">
      <c r="AF69" t="str">
        <f t="shared" ref="AF69:AF100" si="1">IF(B69&gt;0,SUM(B69:AE69),"" )</f>
        <v/>
      </c>
    </row>
    <row r="70" spans="32:32">
      <c r="AF70" t="str">
        <f t="shared" si="1"/>
        <v/>
      </c>
    </row>
    <row r="71" spans="32:32">
      <c r="AF71" t="str">
        <f t="shared" si="1"/>
        <v/>
      </c>
    </row>
    <row r="72" spans="32:32">
      <c r="AF72" t="str">
        <f t="shared" si="1"/>
        <v/>
      </c>
    </row>
    <row r="73" spans="32:32">
      <c r="AF73" t="str">
        <f t="shared" si="1"/>
        <v/>
      </c>
    </row>
    <row r="74" spans="32:32">
      <c r="AF74" t="str">
        <f t="shared" si="1"/>
        <v/>
      </c>
    </row>
    <row r="75" spans="32:32">
      <c r="AF75" t="str">
        <f t="shared" si="1"/>
        <v/>
      </c>
    </row>
    <row r="76" spans="32:32">
      <c r="AF76" t="str">
        <f t="shared" si="1"/>
        <v/>
      </c>
    </row>
    <row r="77" spans="32:32">
      <c r="AF77" t="str">
        <f t="shared" si="1"/>
        <v/>
      </c>
    </row>
    <row r="78" spans="32:32">
      <c r="AF78" t="str">
        <f t="shared" si="1"/>
        <v/>
      </c>
    </row>
    <row r="79" spans="32:32">
      <c r="AF79" t="str">
        <f t="shared" si="1"/>
        <v/>
      </c>
    </row>
    <row r="80" spans="32:32">
      <c r="AF80" t="str">
        <f t="shared" si="1"/>
        <v/>
      </c>
    </row>
    <row r="81" spans="32:32">
      <c r="AF81" t="str">
        <f t="shared" si="1"/>
        <v/>
      </c>
    </row>
    <row r="82" spans="32:32">
      <c r="AF82" t="str">
        <f t="shared" si="1"/>
        <v/>
      </c>
    </row>
    <row r="83" spans="32:32">
      <c r="AF83" t="str">
        <f t="shared" si="1"/>
        <v/>
      </c>
    </row>
    <row r="84" spans="32:32">
      <c r="AF84" t="str">
        <f t="shared" si="1"/>
        <v/>
      </c>
    </row>
    <row r="85" spans="32:32">
      <c r="AF85" t="str">
        <f t="shared" si="1"/>
        <v/>
      </c>
    </row>
    <row r="86" spans="32:32">
      <c r="AF86" t="str">
        <f t="shared" si="1"/>
        <v/>
      </c>
    </row>
    <row r="87" spans="32:32">
      <c r="AF87" t="str">
        <f t="shared" si="1"/>
        <v/>
      </c>
    </row>
    <row r="88" spans="32:32">
      <c r="AF88" t="str">
        <f t="shared" si="1"/>
        <v/>
      </c>
    </row>
    <row r="89" spans="32:32">
      <c r="AF89" t="str">
        <f t="shared" si="1"/>
        <v/>
      </c>
    </row>
    <row r="90" spans="32:32">
      <c r="AF90" t="str">
        <f t="shared" si="1"/>
        <v/>
      </c>
    </row>
    <row r="91" spans="32:32">
      <c r="AF91" t="str">
        <f t="shared" si="1"/>
        <v/>
      </c>
    </row>
    <row r="92" spans="32:32">
      <c r="AF92" t="str">
        <f t="shared" si="1"/>
        <v/>
      </c>
    </row>
    <row r="93" spans="32:32">
      <c r="AF93" t="str">
        <f t="shared" si="1"/>
        <v/>
      </c>
    </row>
    <row r="94" spans="32:32">
      <c r="AF94" t="str">
        <f t="shared" si="1"/>
        <v/>
      </c>
    </row>
    <row r="95" spans="32:32">
      <c r="AF95" t="str">
        <f t="shared" si="1"/>
        <v/>
      </c>
    </row>
    <row r="96" spans="32:32">
      <c r="AF96" t="str">
        <f t="shared" si="1"/>
        <v/>
      </c>
    </row>
    <row r="97" spans="32:32">
      <c r="AF97" t="str">
        <f t="shared" si="1"/>
        <v/>
      </c>
    </row>
    <row r="98" spans="32:32">
      <c r="AF98" t="str">
        <f t="shared" si="1"/>
        <v/>
      </c>
    </row>
    <row r="99" spans="32:32">
      <c r="AF99" t="str">
        <f t="shared" si="1"/>
        <v/>
      </c>
    </row>
    <row r="100" spans="32:32">
      <c r="AF100" t="str">
        <f t="shared" si="1"/>
        <v/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3"/>
  <dimension ref="A1:AC40"/>
  <sheetViews>
    <sheetView zoomScale="75" workbookViewId="0">
      <selection activeCell="M35" sqref="M35"/>
    </sheetView>
  </sheetViews>
  <sheetFormatPr defaultRowHeight="12.75"/>
  <cols>
    <col min="2" max="2" width="17.42578125" customWidth="1"/>
  </cols>
  <sheetData>
    <row r="1" spans="1:29">
      <c r="AA1" s="6"/>
    </row>
    <row r="2" spans="1:29">
      <c r="A2" t="s">
        <v>34</v>
      </c>
      <c r="D2" t="s">
        <v>35</v>
      </c>
      <c r="E2">
        <v>1</v>
      </c>
    </row>
    <row r="3" spans="1:29">
      <c r="A3" t="s">
        <v>0</v>
      </c>
      <c r="B3" t="s">
        <v>37</v>
      </c>
      <c r="C3" t="s">
        <v>36</v>
      </c>
      <c r="AA3" s="6"/>
      <c r="AB3" s="6"/>
      <c r="AC3" s="6"/>
    </row>
    <row r="4" spans="1:29">
      <c r="A4">
        <v>1970</v>
      </c>
      <c r="B4">
        <v>561585</v>
      </c>
      <c r="C4">
        <v>63352372</v>
      </c>
    </row>
    <row r="5" spans="1:29">
      <c r="A5">
        <v>1971</v>
      </c>
      <c r="B5">
        <v>518434</v>
      </c>
      <c r="C5">
        <v>61890946</v>
      </c>
    </row>
    <row r="6" spans="1:29">
      <c r="A6">
        <v>1972</v>
      </c>
      <c r="B6">
        <v>494663</v>
      </c>
      <c r="C6">
        <v>53128261</v>
      </c>
    </row>
    <row r="7" spans="1:29">
      <c r="A7">
        <v>1973</v>
      </c>
      <c r="B7">
        <v>456104</v>
      </c>
      <c r="C7">
        <v>58625271</v>
      </c>
    </row>
    <row r="8" spans="1:29">
      <c r="A8">
        <v>1974</v>
      </c>
      <c r="B8">
        <v>423272</v>
      </c>
      <c r="C8">
        <v>66463128</v>
      </c>
    </row>
    <row r="9" spans="1:29">
      <c r="A9">
        <v>1975</v>
      </c>
      <c r="B9">
        <v>372215</v>
      </c>
      <c r="C9">
        <v>79317169</v>
      </c>
    </row>
    <row r="10" spans="1:29">
      <c r="A10">
        <v>1976</v>
      </c>
      <c r="B10">
        <v>324789</v>
      </c>
      <c r="C10">
        <v>80849812</v>
      </c>
    </row>
    <row r="11" spans="1:29">
      <c r="A11">
        <v>1977</v>
      </c>
      <c r="B11">
        <v>320723</v>
      </c>
      <c r="C11">
        <v>69990642</v>
      </c>
    </row>
    <row r="12" spans="1:29">
      <c r="A12">
        <v>1978</v>
      </c>
      <c r="B12">
        <v>350108</v>
      </c>
      <c r="C12">
        <v>62370073</v>
      </c>
    </row>
    <row r="13" spans="1:29">
      <c r="A13">
        <v>1979</v>
      </c>
      <c r="B13">
        <v>371716</v>
      </c>
      <c r="C13">
        <v>64836350</v>
      </c>
    </row>
    <row r="14" spans="1:29">
      <c r="A14">
        <v>1980</v>
      </c>
      <c r="B14">
        <v>373204</v>
      </c>
      <c r="C14">
        <v>60450918</v>
      </c>
    </row>
    <row r="15" spans="1:29">
      <c r="A15">
        <v>1981</v>
      </c>
      <c r="B15">
        <v>341488</v>
      </c>
      <c r="C15">
        <v>85424802</v>
      </c>
    </row>
    <row r="16" spans="1:29">
      <c r="A16">
        <v>1982</v>
      </c>
      <c r="B16">
        <v>295849</v>
      </c>
      <c r="C16">
        <v>71019816</v>
      </c>
    </row>
    <row r="17" spans="1:3">
      <c r="A17">
        <v>1983</v>
      </c>
      <c r="B17">
        <v>242162</v>
      </c>
      <c r="C17">
        <v>90700309</v>
      </c>
    </row>
    <row r="18" spans="1:3">
      <c r="A18">
        <v>1984</v>
      </c>
      <c r="B18">
        <v>242474</v>
      </c>
      <c r="C18">
        <v>76131793</v>
      </c>
    </row>
    <row r="19" spans="1:3">
      <c r="A19">
        <v>1985</v>
      </c>
      <c r="B19">
        <v>268102</v>
      </c>
      <c r="C19">
        <v>87534083</v>
      </c>
    </row>
    <row r="20" spans="1:3">
      <c r="A20">
        <v>1986</v>
      </c>
      <c r="B20">
        <v>286202</v>
      </c>
      <c r="C20">
        <v>75994547</v>
      </c>
    </row>
    <row r="21" spans="1:3">
      <c r="A21">
        <v>1987</v>
      </c>
      <c r="B21">
        <v>305471</v>
      </c>
      <c r="C21">
        <v>76716378</v>
      </c>
    </row>
    <row r="22" spans="1:3">
      <c r="A22">
        <v>1988</v>
      </c>
      <c r="B22">
        <v>350668</v>
      </c>
      <c r="C22">
        <v>64846503</v>
      </c>
    </row>
    <row r="23" spans="1:3">
      <c r="A23">
        <v>1989</v>
      </c>
      <c r="B23">
        <v>356119</v>
      </c>
      <c r="C23">
        <v>77203682</v>
      </c>
    </row>
    <row r="24" spans="1:3">
      <c r="A24">
        <v>1990</v>
      </c>
      <c r="B24">
        <v>316228</v>
      </c>
      <c r="C24">
        <v>76037148</v>
      </c>
    </row>
    <row r="25" spans="1:3">
      <c r="A25">
        <v>1991</v>
      </c>
      <c r="B25">
        <v>258999</v>
      </c>
      <c r="C25">
        <v>72784090</v>
      </c>
    </row>
    <row r="26" spans="1:3">
      <c r="A26">
        <v>1992</v>
      </c>
      <c r="B26">
        <v>243408</v>
      </c>
      <c r="C26">
        <v>78287429</v>
      </c>
    </row>
    <row r="27" spans="1:3">
      <c r="A27">
        <v>1993</v>
      </c>
      <c r="B27">
        <v>230968</v>
      </c>
      <c r="C27">
        <v>85357863</v>
      </c>
    </row>
    <row r="28" spans="1:3">
      <c r="A28">
        <v>1994</v>
      </c>
      <c r="B28">
        <v>216134</v>
      </c>
      <c r="C28">
        <v>66046971</v>
      </c>
    </row>
    <row r="29" spans="1:3">
      <c r="A29">
        <v>1995</v>
      </c>
      <c r="B29">
        <v>212593</v>
      </c>
      <c r="C29">
        <v>64342847</v>
      </c>
    </row>
    <row r="30" spans="1:3">
      <c r="A30">
        <v>1996</v>
      </c>
      <c r="B30">
        <v>228778</v>
      </c>
      <c r="C30">
        <v>65509933</v>
      </c>
    </row>
    <row r="31" spans="1:3">
      <c r="A31">
        <v>1997</v>
      </c>
      <c r="B31">
        <v>221277</v>
      </c>
      <c r="C31">
        <v>75340574</v>
      </c>
    </row>
    <row r="32" spans="1:3">
      <c r="A32">
        <v>1998</v>
      </c>
      <c r="B32">
        <v>209692</v>
      </c>
      <c r="C32">
        <v>98003055</v>
      </c>
    </row>
    <row r="33" spans="1:3">
      <c r="A33">
        <v>1999</v>
      </c>
      <c r="B33">
        <v>192655</v>
      </c>
      <c r="C33">
        <v>73336903</v>
      </c>
    </row>
    <row r="34" spans="1:3">
      <c r="A34">
        <v>2000</v>
      </c>
      <c r="B34">
        <v>197073</v>
      </c>
      <c r="C34">
        <v>75325217</v>
      </c>
    </row>
    <row r="35" spans="1:3">
      <c r="A35">
        <v>2001</v>
      </c>
      <c r="B35">
        <v>226847</v>
      </c>
      <c r="C35">
        <v>74596913</v>
      </c>
    </row>
    <row r="36" spans="1:3">
      <c r="A36">
        <v>2002</v>
      </c>
      <c r="B36">
        <v>225377</v>
      </c>
      <c r="C36">
        <v>63752837</v>
      </c>
    </row>
    <row r="37" spans="1:3">
      <c r="A37">
        <v>2003</v>
      </c>
      <c r="B37">
        <v>200465</v>
      </c>
      <c r="C37">
        <v>60786265</v>
      </c>
    </row>
    <row r="38" spans="1:3">
      <c r="A38">
        <v>2004</v>
      </c>
      <c r="B38">
        <v>195304</v>
      </c>
      <c r="C38">
        <v>72462957</v>
      </c>
    </row>
    <row r="39" spans="1:3">
      <c r="A39">
        <v>2005</v>
      </c>
      <c r="B39">
        <v>174047</v>
      </c>
      <c r="C39">
        <v>76513359</v>
      </c>
    </row>
    <row r="40" spans="1:3">
      <c r="A40">
        <v>2006</v>
      </c>
      <c r="B40">
        <v>169908</v>
      </c>
      <c r="C40">
        <v>77510633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4"/>
  <dimension ref="A1:HW100"/>
  <sheetViews>
    <sheetView topLeftCell="A37" zoomScale="60" zoomScaleNormal="60" workbookViewId="0">
      <selection activeCell="Z66" sqref="Z66"/>
    </sheetView>
  </sheetViews>
  <sheetFormatPr defaultRowHeight="12.75"/>
  <sheetData>
    <row r="1" spans="1:231" s="2" customFormat="1">
      <c r="A1" s="2" t="s">
        <v>104</v>
      </c>
      <c r="D1" s="2" t="str">
        <f>'Titles and Variables'!B16</f>
        <v>ATL</v>
      </c>
      <c r="F1" s="2" t="str">
        <f>'Titles and Variables'!C16</f>
        <v>BRA_BB</v>
      </c>
      <c r="O1" s="2" t="str">
        <f>'Titles and Variables'!B17</f>
        <v>ATL</v>
      </c>
      <c r="Q1" s="2" t="str">
        <f>'Titles and Variables'!C17</f>
        <v>BRA_LL</v>
      </c>
      <c r="Z1" s="2" t="str">
        <f>'Titles and Variables'!B18</f>
        <v>ATL</v>
      </c>
      <c r="AB1" s="2" t="str">
        <f>'Titles and Variables'!C18</f>
        <v>JPN_LL</v>
      </c>
      <c r="AL1" s="2" t="str">
        <f>'Titles and Variables'!B19</f>
        <v>ATL</v>
      </c>
      <c r="AN1" s="2" t="str">
        <f>'Titles and Variables'!C19</f>
        <v>USMEX_LL</v>
      </c>
      <c r="AX1" s="2" t="str">
        <f>'Titles and Variables'!B20</f>
        <v>ATL</v>
      </c>
      <c r="AZ1" s="2" t="str">
        <f>'Titles and Variables'!C20</f>
        <v>US_RR</v>
      </c>
      <c r="BJ1" s="2" t="str">
        <f>'Titles and Variables'!B21</f>
        <v>ATL</v>
      </c>
      <c r="BK1" s="2" t="str">
        <f>'Titles and Variables'!C21</f>
        <v>US_PLL ATL</v>
      </c>
      <c r="BV1" s="2" t="str">
        <f>'Titles and Variables'!B22</f>
        <v>ATL</v>
      </c>
      <c r="BW1" s="2" t="str">
        <f>'Titles and Variables'!C22</f>
        <v>VEN_LL</v>
      </c>
      <c r="CH1" s="2" t="str">
        <f>'Titles and Variables'!B23</f>
        <v>ATL</v>
      </c>
      <c r="CI1" s="2" t="str">
        <f>'Titles and Variables'!C23</f>
        <v>VEN_PS</v>
      </c>
      <c r="CT1" s="2" t="str">
        <f>'Titles and Variables'!B24</f>
        <v>ATL</v>
      </c>
      <c r="CU1" s="2" t="str">
        <f>'Titles and Variables'!C24</f>
        <v>EUR-FAD-PS</v>
      </c>
      <c r="DF1" s="2" t="str">
        <f>'Titles and Variables'!B25</f>
        <v>ATL</v>
      </c>
      <c r="DG1" s="2" t="str">
        <f>'Titles and Variables'!C25</f>
        <v>EUR-PS 3%</v>
      </c>
      <c r="DR1" s="2" t="str">
        <f>'Titles and Variables'!B26</f>
        <v>ATL</v>
      </c>
      <c r="DS1" s="2" t="str">
        <f>'Titles and Variables'!C26</f>
        <v>EU-DAKAR</v>
      </c>
      <c r="ED1" s="2" t="str">
        <f>'Titles and Variables'!B27</f>
        <v>ATL</v>
      </c>
      <c r="EE1" s="2" t="str">
        <f>'Titles and Variables'!C27</f>
        <v>URU-LL</v>
      </c>
      <c r="EP1" s="2" t="str">
        <f>'Titles and Variables'!B28</f>
        <v>ATL</v>
      </c>
      <c r="EQ1" s="2" t="str">
        <f>'Titles and Variables'!C28</f>
        <v>BRA-URU-LL</v>
      </c>
      <c r="FB1" s="2" t="str">
        <f>'Titles and Variables'!B29</f>
        <v>ATL</v>
      </c>
      <c r="FC1" s="2" t="str">
        <f>'Titles and Variables'!C29</f>
        <v>CHIN-TAI-LL</v>
      </c>
      <c r="FN1" s="2" t="str">
        <f>'Titles and Variables'!B30</f>
        <v>ATL</v>
      </c>
      <c r="FO1" s="2" t="str">
        <f>'Titles and Variables'!C30</f>
        <v>TROP-PS</v>
      </c>
      <c r="FZ1" s="2" t="str">
        <f>'Titles and Variables'!B31</f>
        <v>ATL</v>
      </c>
      <c r="GA1" s="2" t="str">
        <f>'Titles and Variables'!C31</f>
        <v>CAN-IS-BB</v>
      </c>
      <c r="GL1" s="2" t="str">
        <f>'Titles and Variables'!B32</f>
        <v>ATL</v>
      </c>
      <c r="GM1" s="2" t="str">
        <f>'Titles and Variables'!C32</f>
        <v>NOT-USED</v>
      </c>
      <c r="GX1" s="2" t="str">
        <f>'Titles and Variables'!B33</f>
        <v>ATL</v>
      </c>
      <c r="GY1" s="2" t="str">
        <f>'Titles and Variables'!C33</f>
        <v>NOT-USED</v>
      </c>
      <c r="HJ1" s="2" t="str">
        <f>'Titles and Variables'!B34</f>
        <v>ATL</v>
      </c>
      <c r="HK1" s="2" t="str">
        <f>'Titles and Variables'!C34</f>
        <v>NOT-USED</v>
      </c>
      <c r="HV1" s="2" t="str">
        <f>'Titles and Variables'!B35</f>
        <v>ATL</v>
      </c>
      <c r="HW1" s="2" t="str">
        <f>'Titles and Variables'!C35</f>
        <v>NOT-USED</v>
      </c>
    </row>
    <row r="2" spans="1:231">
      <c r="A2" t="s">
        <v>0</v>
      </c>
      <c r="B2" t="s">
        <v>40</v>
      </c>
      <c r="D2" t="s">
        <v>78</v>
      </c>
      <c r="E2" t="s">
        <v>79</v>
      </c>
      <c r="O2" t="s">
        <v>78</v>
      </c>
      <c r="P2" t="s">
        <v>79</v>
      </c>
      <c r="Z2" t="s">
        <v>78</v>
      </c>
      <c r="AA2" t="s">
        <v>79</v>
      </c>
      <c r="AL2" t="s">
        <v>78</v>
      </c>
      <c r="AM2" t="s">
        <v>79</v>
      </c>
      <c r="AX2" t="s">
        <v>100</v>
      </c>
      <c r="AY2" t="s">
        <v>101</v>
      </c>
      <c r="BV2" t="s">
        <v>78</v>
      </c>
      <c r="BW2" t="s">
        <v>79</v>
      </c>
      <c r="CH2" t="s">
        <v>78</v>
      </c>
      <c r="CI2" t="s">
        <v>79</v>
      </c>
      <c r="CT2" t="s">
        <v>100</v>
      </c>
      <c r="CU2" t="s">
        <v>101</v>
      </c>
      <c r="DR2" t="s">
        <v>100</v>
      </c>
      <c r="DS2" t="s">
        <v>101</v>
      </c>
      <c r="ED2" t="s">
        <v>100</v>
      </c>
      <c r="EE2" t="s">
        <v>101</v>
      </c>
      <c r="EP2" t="s">
        <v>100</v>
      </c>
      <c r="EQ2" t="s">
        <v>101</v>
      </c>
      <c r="FB2" t="s">
        <v>100</v>
      </c>
      <c r="FC2" t="s">
        <v>101</v>
      </c>
      <c r="FN2" t="s">
        <v>100</v>
      </c>
      <c r="FO2" t="s">
        <v>101</v>
      </c>
      <c r="FZ2" t="s">
        <v>100</v>
      </c>
      <c r="GA2" t="s">
        <v>101</v>
      </c>
      <c r="GL2" t="s">
        <v>100</v>
      </c>
      <c r="GM2" t="s">
        <v>101</v>
      </c>
      <c r="GX2" t="s">
        <v>100</v>
      </c>
      <c r="GY2" t="s">
        <v>101</v>
      </c>
    </row>
    <row r="3" spans="1:231">
      <c r="A3">
        <f>'Titles and Variables'!B1</f>
        <v>1970</v>
      </c>
      <c r="B3">
        <v>0</v>
      </c>
      <c r="D3" t="s">
        <v>102</v>
      </c>
      <c r="E3">
        <v>6</v>
      </c>
      <c r="F3" t="s">
        <v>103</v>
      </c>
      <c r="O3" t="s">
        <v>102</v>
      </c>
      <c r="P3">
        <v>6</v>
      </c>
      <c r="Q3" t="s">
        <v>80</v>
      </c>
      <c r="Z3" t="s">
        <v>102</v>
      </c>
      <c r="AA3">
        <v>6</v>
      </c>
      <c r="AB3" t="s">
        <v>80</v>
      </c>
      <c r="AL3" t="s">
        <v>102</v>
      </c>
      <c r="AM3">
        <v>6</v>
      </c>
      <c r="AN3" t="s">
        <v>80</v>
      </c>
      <c r="BV3" t="s">
        <v>102</v>
      </c>
      <c r="BW3">
        <v>6</v>
      </c>
      <c r="BX3" t="s">
        <v>80</v>
      </c>
      <c r="CH3" t="s">
        <v>102</v>
      </c>
      <c r="CI3">
        <v>6</v>
      </c>
      <c r="CJ3" t="s">
        <v>103</v>
      </c>
    </row>
    <row r="4" spans="1:231">
      <c r="A4">
        <f>A3+1</f>
        <v>1971</v>
      </c>
      <c r="B4">
        <v>0</v>
      </c>
      <c r="D4" t="s">
        <v>81</v>
      </c>
      <c r="E4">
        <v>0</v>
      </c>
      <c r="F4" t="s">
        <v>82</v>
      </c>
      <c r="G4">
        <v>4</v>
      </c>
      <c r="O4" t="s">
        <v>81</v>
      </c>
      <c r="P4">
        <v>0</v>
      </c>
      <c r="Q4" t="s">
        <v>82</v>
      </c>
      <c r="R4">
        <v>5</v>
      </c>
      <c r="Z4" t="s">
        <v>81</v>
      </c>
      <c r="AA4">
        <v>0</v>
      </c>
      <c r="AB4" t="s">
        <v>82</v>
      </c>
      <c r="AC4">
        <v>5</v>
      </c>
      <c r="AL4" t="s">
        <v>81</v>
      </c>
      <c r="AM4">
        <v>0</v>
      </c>
      <c r="AN4" t="s">
        <v>82</v>
      </c>
      <c r="AO4">
        <v>5</v>
      </c>
      <c r="BV4" t="s">
        <v>81</v>
      </c>
      <c r="BW4">
        <v>0</v>
      </c>
      <c r="BX4" t="s">
        <v>82</v>
      </c>
      <c r="BY4">
        <v>5</v>
      </c>
      <c r="CH4" t="s">
        <v>81</v>
      </c>
      <c r="CI4">
        <v>0</v>
      </c>
      <c r="CJ4" t="s">
        <v>82</v>
      </c>
      <c r="CK4">
        <v>4</v>
      </c>
    </row>
    <row r="5" spans="1:231">
      <c r="A5">
        <f t="shared" ref="A5:A45" si="0">A4+1</f>
        <v>1972</v>
      </c>
      <c r="B5">
        <v>0</v>
      </c>
      <c r="D5" t="s">
        <v>83</v>
      </c>
      <c r="E5" t="s">
        <v>84</v>
      </c>
      <c r="F5">
        <v>-2.21</v>
      </c>
      <c r="O5" t="s">
        <v>83</v>
      </c>
      <c r="P5" t="s">
        <v>84</v>
      </c>
      <c r="Q5">
        <v>1.38</v>
      </c>
      <c r="Z5" t="s">
        <v>83</v>
      </c>
      <c r="AA5" t="s">
        <v>84</v>
      </c>
      <c r="AB5">
        <v>4.58</v>
      </c>
      <c r="AL5" t="s">
        <v>83</v>
      </c>
      <c r="AM5" t="s">
        <v>84</v>
      </c>
      <c r="AN5">
        <v>2.13</v>
      </c>
      <c r="BV5" t="s">
        <v>83</v>
      </c>
      <c r="BW5" t="s">
        <v>84</v>
      </c>
      <c r="BX5">
        <v>0.86</v>
      </c>
      <c r="CH5" t="s">
        <v>83</v>
      </c>
      <c r="CI5" t="s">
        <v>84</v>
      </c>
      <c r="CJ5">
        <v>0.59</v>
      </c>
    </row>
    <row r="6" spans="1:231">
      <c r="A6">
        <f t="shared" si="0"/>
        <v>1973</v>
      </c>
      <c r="B6">
        <v>0</v>
      </c>
      <c r="D6" t="s">
        <v>85</v>
      </c>
      <c r="E6" t="s">
        <v>84</v>
      </c>
      <c r="F6">
        <v>13.58</v>
      </c>
      <c r="O6" t="s">
        <v>85</v>
      </c>
      <c r="P6" t="s">
        <v>84</v>
      </c>
      <c r="Q6">
        <v>4.93</v>
      </c>
      <c r="Z6" t="s">
        <v>85</v>
      </c>
      <c r="AA6" t="s">
        <v>84</v>
      </c>
      <c r="AB6">
        <v>4.41</v>
      </c>
      <c r="AL6" t="s">
        <v>85</v>
      </c>
      <c r="AM6" t="s">
        <v>84</v>
      </c>
      <c r="AN6">
        <v>0.88</v>
      </c>
      <c r="BV6" t="s">
        <v>85</v>
      </c>
      <c r="BW6" t="s">
        <v>84</v>
      </c>
      <c r="BX6">
        <v>2.3199999999999998</v>
      </c>
      <c r="CH6" t="s">
        <v>85</v>
      </c>
      <c r="CI6" t="s">
        <v>84</v>
      </c>
      <c r="CJ6">
        <v>7.24</v>
      </c>
    </row>
    <row r="7" spans="1:231">
      <c r="A7">
        <f t="shared" si="0"/>
        <v>1974</v>
      </c>
      <c r="B7">
        <v>0</v>
      </c>
      <c r="D7" t="s">
        <v>86</v>
      </c>
      <c r="E7" t="s">
        <v>87</v>
      </c>
      <c r="F7">
        <v>12.33</v>
      </c>
      <c r="O7" t="s">
        <v>86</v>
      </c>
      <c r="P7" t="s">
        <v>87</v>
      </c>
      <c r="Q7">
        <v>2.7</v>
      </c>
      <c r="Z7" t="s">
        <v>86</v>
      </c>
      <c r="AA7" t="s">
        <v>87</v>
      </c>
      <c r="AB7">
        <v>4.13</v>
      </c>
      <c r="AL7" t="s">
        <v>86</v>
      </c>
      <c r="AM7" t="s">
        <v>87</v>
      </c>
      <c r="AN7">
        <v>1.44</v>
      </c>
      <c r="BV7" t="s">
        <v>86</v>
      </c>
      <c r="BW7" t="s">
        <v>87</v>
      </c>
      <c r="BX7">
        <v>1.75</v>
      </c>
      <c r="CH7" t="s">
        <v>86</v>
      </c>
      <c r="CI7" t="s">
        <v>87</v>
      </c>
      <c r="CJ7">
        <v>4.2300000000000004</v>
      </c>
    </row>
    <row r="8" spans="1:231">
      <c r="A8">
        <f t="shared" si="0"/>
        <v>1975</v>
      </c>
      <c r="B8">
        <v>0</v>
      </c>
    </row>
    <row r="9" spans="1:231">
      <c r="A9">
        <f t="shared" si="0"/>
        <v>1976</v>
      </c>
      <c r="B9">
        <v>0</v>
      </c>
      <c r="D9" s="2" t="s">
        <v>104</v>
      </c>
      <c r="E9" s="2" t="s">
        <v>104</v>
      </c>
      <c r="F9" s="2" t="s">
        <v>104</v>
      </c>
      <c r="G9" t="s">
        <v>88</v>
      </c>
      <c r="H9" t="s">
        <v>89</v>
      </c>
      <c r="I9" t="s">
        <v>90</v>
      </c>
      <c r="J9" t="s">
        <v>91</v>
      </c>
      <c r="K9" t="s">
        <v>91</v>
      </c>
      <c r="L9" t="s">
        <v>92</v>
      </c>
      <c r="O9" s="2" t="s">
        <v>104</v>
      </c>
      <c r="P9" s="2" t="s">
        <v>104</v>
      </c>
      <c r="Q9" s="2" t="s">
        <v>104</v>
      </c>
      <c r="R9" t="s">
        <v>88</v>
      </c>
      <c r="S9" t="s">
        <v>89</v>
      </c>
      <c r="T9" t="s">
        <v>90</v>
      </c>
      <c r="U9" t="s">
        <v>91</v>
      </c>
      <c r="V9" t="s">
        <v>91</v>
      </c>
      <c r="W9" t="s">
        <v>92</v>
      </c>
      <c r="Z9" s="2" t="s">
        <v>104</v>
      </c>
      <c r="AA9" s="2" t="s">
        <v>104</v>
      </c>
      <c r="AB9" s="2" t="s">
        <v>104</v>
      </c>
      <c r="AC9" t="s">
        <v>88</v>
      </c>
      <c r="AD9" t="s">
        <v>89</v>
      </c>
      <c r="AE9" t="s">
        <v>90</v>
      </c>
      <c r="AF9" t="s">
        <v>91</v>
      </c>
      <c r="AG9" t="s">
        <v>91</v>
      </c>
      <c r="AH9" t="s">
        <v>92</v>
      </c>
      <c r="AL9" s="2" t="s">
        <v>104</v>
      </c>
      <c r="AM9" s="2" t="s">
        <v>104</v>
      </c>
      <c r="AN9" s="2" t="s">
        <v>104</v>
      </c>
      <c r="AO9" t="s">
        <v>88</v>
      </c>
      <c r="AP9" t="s">
        <v>89</v>
      </c>
      <c r="AQ9" t="s">
        <v>90</v>
      </c>
      <c r="AR9" t="s">
        <v>91</v>
      </c>
      <c r="AS9" t="s">
        <v>91</v>
      </c>
      <c r="AT9" t="s">
        <v>92</v>
      </c>
      <c r="BV9" s="2" t="s">
        <v>104</v>
      </c>
      <c r="BW9" s="2" t="s">
        <v>104</v>
      </c>
      <c r="BX9" s="2" t="s">
        <v>104</v>
      </c>
      <c r="BY9" t="s">
        <v>88</v>
      </c>
      <c r="BZ9" t="s">
        <v>89</v>
      </c>
      <c r="CA9" t="s">
        <v>90</v>
      </c>
      <c r="CB9" t="s">
        <v>91</v>
      </c>
      <c r="CC9" t="s">
        <v>91</v>
      </c>
      <c r="CD9" t="s">
        <v>92</v>
      </c>
      <c r="CH9" s="2" t="s">
        <v>104</v>
      </c>
      <c r="CI9" s="2" t="s">
        <v>104</v>
      </c>
      <c r="CJ9" s="2" t="s">
        <v>104</v>
      </c>
      <c r="CK9" t="s">
        <v>88</v>
      </c>
      <c r="CL9" t="s">
        <v>89</v>
      </c>
      <c r="CM9" t="s">
        <v>90</v>
      </c>
      <c r="CN9" t="s">
        <v>91</v>
      </c>
      <c r="CO9" t="s">
        <v>91</v>
      </c>
      <c r="CP9" t="s">
        <v>92</v>
      </c>
    </row>
    <row r="10" spans="1:231">
      <c r="A10">
        <f t="shared" si="0"/>
        <v>1977</v>
      </c>
      <c r="B10">
        <v>0</v>
      </c>
      <c r="D10" t="s">
        <v>68</v>
      </c>
      <c r="E10" t="s">
        <v>93</v>
      </c>
      <c r="F10" t="s">
        <v>94</v>
      </c>
      <c r="G10" t="s">
        <v>95</v>
      </c>
      <c r="H10" t="s">
        <v>96</v>
      </c>
      <c r="I10" t="s">
        <v>97</v>
      </c>
      <c r="J10" t="s">
        <v>93</v>
      </c>
      <c r="K10" t="s">
        <v>94</v>
      </c>
      <c r="L10" t="s">
        <v>98</v>
      </c>
      <c r="O10" t="s">
        <v>68</v>
      </c>
      <c r="P10" t="s">
        <v>93</v>
      </c>
      <c r="Q10" t="s">
        <v>94</v>
      </c>
      <c r="R10" t="s">
        <v>95</v>
      </c>
      <c r="S10" t="s">
        <v>96</v>
      </c>
      <c r="T10" t="s">
        <v>97</v>
      </c>
      <c r="U10" t="s">
        <v>93</v>
      </c>
      <c r="V10" t="s">
        <v>94</v>
      </c>
      <c r="W10" t="s">
        <v>98</v>
      </c>
      <c r="Z10" t="s">
        <v>68</v>
      </c>
      <c r="AA10" t="s">
        <v>93</v>
      </c>
      <c r="AB10" t="s">
        <v>94</v>
      </c>
      <c r="AC10" t="s">
        <v>95</v>
      </c>
      <c r="AD10" t="s">
        <v>96</v>
      </c>
      <c r="AE10" t="s">
        <v>97</v>
      </c>
      <c r="AF10" t="s">
        <v>93</v>
      </c>
      <c r="AG10" t="s">
        <v>94</v>
      </c>
      <c r="AH10" t="s">
        <v>98</v>
      </c>
      <c r="AL10" t="s">
        <v>68</v>
      </c>
      <c r="AM10" t="s">
        <v>93</v>
      </c>
      <c r="AN10" t="s">
        <v>94</v>
      </c>
      <c r="AO10" t="s">
        <v>95</v>
      </c>
      <c r="AP10" t="s">
        <v>96</v>
      </c>
      <c r="AQ10" t="s">
        <v>97</v>
      </c>
      <c r="AR10" t="s">
        <v>93</v>
      </c>
      <c r="AS10" t="s">
        <v>94</v>
      </c>
      <c r="AT10" t="s">
        <v>98</v>
      </c>
      <c r="BV10" t="s">
        <v>68</v>
      </c>
      <c r="BW10" t="s">
        <v>93</v>
      </c>
      <c r="BX10" t="s">
        <v>94</v>
      </c>
      <c r="BY10" t="s">
        <v>95</v>
      </c>
      <c r="BZ10" t="s">
        <v>96</v>
      </c>
      <c r="CA10" t="s">
        <v>97</v>
      </c>
      <c r="CB10" t="s">
        <v>93</v>
      </c>
      <c r="CC10" t="s">
        <v>94</v>
      </c>
      <c r="CD10" t="s">
        <v>98</v>
      </c>
      <c r="CH10" t="s">
        <v>68</v>
      </c>
      <c r="CI10" t="s">
        <v>93</v>
      </c>
      <c r="CJ10" t="s">
        <v>94</v>
      </c>
      <c r="CK10" t="s">
        <v>95</v>
      </c>
      <c r="CL10" t="s">
        <v>96</v>
      </c>
      <c r="CM10" t="s">
        <v>97</v>
      </c>
      <c r="CN10" t="s">
        <v>93</v>
      </c>
      <c r="CO10" t="s">
        <v>94</v>
      </c>
      <c r="CP10" t="s">
        <v>98</v>
      </c>
    </row>
    <row r="11" spans="1:231">
      <c r="A11">
        <f t="shared" si="0"/>
        <v>1978</v>
      </c>
      <c r="B11">
        <v>0</v>
      </c>
      <c r="D11" t="s">
        <v>69</v>
      </c>
      <c r="E11" t="s">
        <v>99</v>
      </c>
      <c r="F11" t="s">
        <v>99</v>
      </c>
      <c r="G11" t="s">
        <v>99</v>
      </c>
      <c r="H11" t="s">
        <v>99</v>
      </c>
      <c r="I11" t="s">
        <v>99</v>
      </c>
      <c r="J11" t="s">
        <v>99</v>
      </c>
      <c r="K11" t="s">
        <v>99</v>
      </c>
      <c r="L11" t="s">
        <v>99</v>
      </c>
      <c r="O11" t="s">
        <v>69</v>
      </c>
      <c r="P11" t="s">
        <v>99</v>
      </c>
      <c r="Q11" t="s">
        <v>99</v>
      </c>
      <c r="R11" t="s">
        <v>99</v>
      </c>
      <c r="S11" t="s">
        <v>99</v>
      </c>
      <c r="T11" t="s">
        <v>99</v>
      </c>
      <c r="U11" t="s">
        <v>99</v>
      </c>
      <c r="V11" t="s">
        <v>99</v>
      </c>
      <c r="W11" t="s">
        <v>99</v>
      </c>
      <c r="Z11" t="s">
        <v>69</v>
      </c>
      <c r="AA11" t="s">
        <v>99</v>
      </c>
      <c r="AB11" t="s">
        <v>99</v>
      </c>
      <c r="AC11" t="s">
        <v>99</v>
      </c>
      <c r="AD11" t="s">
        <v>99</v>
      </c>
      <c r="AE11" t="s">
        <v>99</v>
      </c>
      <c r="AF11" t="s">
        <v>99</v>
      </c>
      <c r="AG11" t="s">
        <v>99</v>
      </c>
      <c r="AH11" t="s">
        <v>99</v>
      </c>
      <c r="AL11" t="s">
        <v>69</v>
      </c>
      <c r="AM11" t="s">
        <v>99</v>
      </c>
      <c r="AN11" t="s">
        <v>99</v>
      </c>
      <c r="AO11" t="s">
        <v>99</v>
      </c>
      <c r="AP11" t="s">
        <v>99</v>
      </c>
      <c r="AQ11" t="s">
        <v>99</v>
      </c>
      <c r="AR11" t="s">
        <v>99</v>
      </c>
      <c r="AS11" t="s">
        <v>99</v>
      </c>
      <c r="AT11" t="s">
        <v>99</v>
      </c>
      <c r="BV11" t="s">
        <v>69</v>
      </c>
      <c r="BW11" t="s">
        <v>99</v>
      </c>
      <c r="BX11" t="s">
        <v>99</v>
      </c>
      <c r="BY11" t="s">
        <v>99</v>
      </c>
      <c r="BZ11" t="s">
        <v>99</v>
      </c>
      <c r="CA11" t="s">
        <v>99</v>
      </c>
      <c r="CB11" t="s">
        <v>99</v>
      </c>
      <c r="CC11" t="s">
        <v>99</v>
      </c>
      <c r="CD11" t="s">
        <v>99</v>
      </c>
      <c r="CH11" t="s">
        <v>69</v>
      </c>
      <c r="CI11" t="s">
        <v>99</v>
      </c>
      <c r="CJ11" t="s">
        <v>99</v>
      </c>
      <c r="CK11" t="s">
        <v>99</v>
      </c>
      <c r="CL11" t="s">
        <v>99</v>
      </c>
      <c r="CM11" t="s">
        <v>99</v>
      </c>
      <c r="CN11" t="s">
        <v>99</v>
      </c>
      <c r="CO11" t="s">
        <v>99</v>
      </c>
      <c r="CP11" t="s">
        <v>99</v>
      </c>
    </row>
    <row r="12" spans="1:231">
      <c r="A12">
        <f t="shared" si="0"/>
        <v>1979</v>
      </c>
      <c r="B12">
        <v>0</v>
      </c>
      <c r="D12">
        <v>1981</v>
      </c>
      <c r="E12">
        <v>1.6140000000000001</v>
      </c>
      <c r="F12">
        <v>0</v>
      </c>
      <c r="G12">
        <v>1.6140000000000001</v>
      </c>
      <c r="H12">
        <v>0.83299999999999996</v>
      </c>
      <c r="I12" s="10">
        <v>1.6600000000000001E-9</v>
      </c>
      <c r="J12">
        <v>1.391</v>
      </c>
      <c r="K12">
        <v>0.27700000000000002</v>
      </c>
      <c r="L12">
        <v>6.5179999999999998</v>
      </c>
      <c r="O12">
        <v>1986</v>
      </c>
      <c r="P12">
        <v>0.17799999999999999</v>
      </c>
      <c r="Q12">
        <v>0.253</v>
      </c>
      <c r="R12">
        <v>-7.4999999999999997E-2</v>
      </c>
      <c r="S12">
        <v>0.83299999999999996</v>
      </c>
      <c r="T12" s="10">
        <v>1.5700000000000002E-8</v>
      </c>
      <c r="U12">
        <v>0.17699999999999999</v>
      </c>
      <c r="V12">
        <v>0.19</v>
      </c>
      <c r="W12">
        <v>0.11799999999999999</v>
      </c>
      <c r="Z12">
        <v>1970</v>
      </c>
      <c r="AA12">
        <v>0.52600000000000002</v>
      </c>
      <c r="AB12">
        <v>0.46500000000000002</v>
      </c>
      <c r="AC12">
        <v>6.0999999999999999E-2</v>
      </c>
      <c r="AD12">
        <v>0.83299999999999996</v>
      </c>
      <c r="AE12" s="10">
        <v>1.4499999999999999E-7</v>
      </c>
      <c r="AF12">
        <v>1.3640000000000001</v>
      </c>
      <c r="AG12">
        <v>1.2829999999999999</v>
      </c>
      <c r="AH12">
        <v>6.2E-2</v>
      </c>
      <c r="AL12">
        <v>1993</v>
      </c>
      <c r="AM12">
        <v>0.20499999999999999</v>
      </c>
      <c r="AN12">
        <v>0.12</v>
      </c>
      <c r="AO12">
        <v>8.5000000000000006E-2</v>
      </c>
      <c r="AP12">
        <v>0.83299999999999996</v>
      </c>
      <c r="AQ12" s="10">
        <v>2.1E-7</v>
      </c>
      <c r="AR12">
        <v>1.151</v>
      </c>
      <c r="AS12">
        <v>1.0569999999999999</v>
      </c>
      <c r="AT12">
        <v>5.2999999999999999E-2</v>
      </c>
      <c r="BV12">
        <v>1991</v>
      </c>
      <c r="BW12">
        <v>0.13200000000000001</v>
      </c>
      <c r="BX12">
        <v>6.9000000000000006E-2</v>
      </c>
      <c r="BY12">
        <v>6.4000000000000001E-2</v>
      </c>
      <c r="BZ12">
        <v>0.83299999999999996</v>
      </c>
      <c r="CA12" s="10">
        <v>2.2499999999999999E-7</v>
      </c>
      <c r="CB12">
        <v>1.0449999999999999</v>
      </c>
      <c r="CC12">
        <v>0.98</v>
      </c>
      <c r="CD12">
        <v>6.0999999999999999E-2</v>
      </c>
      <c r="CH12">
        <v>1983</v>
      </c>
      <c r="CI12">
        <v>0.86299999999999999</v>
      </c>
      <c r="CJ12">
        <v>5.1999999999999998E-2</v>
      </c>
      <c r="CK12">
        <v>0.81</v>
      </c>
      <c r="CL12">
        <v>0.83299999999999996</v>
      </c>
      <c r="CM12" s="10">
        <v>2.2600000000000001E-8</v>
      </c>
      <c r="CN12">
        <v>13.589</v>
      </c>
      <c r="CO12">
        <v>6.0419999999999998</v>
      </c>
      <c r="CP12">
        <v>0.34799999999999998</v>
      </c>
    </row>
    <row r="13" spans="1:231">
      <c r="A13">
        <f t="shared" si="0"/>
        <v>1980</v>
      </c>
      <c r="B13">
        <v>0</v>
      </c>
      <c r="D13">
        <v>1982</v>
      </c>
      <c r="E13">
        <v>-0.26900000000000002</v>
      </c>
      <c r="F13">
        <v>-2.1000000000000001E-2</v>
      </c>
      <c r="G13">
        <v>-0.248</v>
      </c>
      <c r="H13">
        <v>0.83299999999999996</v>
      </c>
      <c r="I13" s="10">
        <v>1.6600000000000001E-9</v>
      </c>
      <c r="J13">
        <v>0.21199999999999999</v>
      </c>
      <c r="K13">
        <v>0.27100000000000002</v>
      </c>
      <c r="L13">
        <v>0.20100000000000001</v>
      </c>
      <c r="O13">
        <v>1987</v>
      </c>
      <c r="P13">
        <v>0.41599999999999998</v>
      </c>
      <c r="Q13">
        <v>0.28000000000000003</v>
      </c>
      <c r="R13">
        <v>0.13500000000000001</v>
      </c>
      <c r="S13">
        <v>0.83299999999999996</v>
      </c>
      <c r="T13" s="10">
        <v>1.5700000000000002E-8</v>
      </c>
      <c r="U13">
        <v>0.224</v>
      </c>
      <c r="V13">
        <v>0.19600000000000001</v>
      </c>
      <c r="W13">
        <v>3.5999999999999997E-2</v>
      </c>
      <c r="Z13">
        <v>1971</v>
      </c>
      <c r="AA13">
        <v>0.28299999999999997</v>
      </c>
      <c r="AB13">
        <v>0.377</v>
      </c>
      <c r="AC13">
        <v>-9.4E-2</v>
      </c>
      <c r="AD13">
        <v>0.83299999999999996</v>
      </c>
      <c r="AE13" s="10">
        <v>1.4499999999999999E-7</v>
      </c>
      <c r="AF13">
        <v>1.069</v>
      </c>
      <c r="AG13">
        <v>1.175</v>
      </c>
      <c r="AH13">
        <v>0.127</v>
      </c>
      <c r="AL13">
        <v>1994</v>
      </c>
      <c r="AM13">
        <v>0.52800000000000002</v>
      </c>
      <c r="AN13">
        <v>0.106</v>
      </c>
      <c r="AO13">
        <v>0.42199999999999999</v>
      </c>
      <c r="AP13">
        <v>0.83299999999999996</v>
      </c>
      <c r="AQ13" s="10">
        <v>2.1E-7</v>
      </c>
      <c r="AR13">
        <v>1.589</v>
      </c>
      <c r="AS13">
        <v>1.042</v>
      </c>
      <c r="AT13">
        <v>6.0000000000000001E-3</v>
      </c>
      <c r="BV13">
        <v>1992</v>
      </c>
      <c r="BW13">
        <v>0.218</v>
      </c>
      <c r="BX13">
        <v>5.5E-2</v>
      </c>
      <c r="BY13">
        <v>0.16300000000000001</v>
      </c>
      <c r="BZ13">
        <v>0.83299999999999996</v>
      </c>
      <c r="CA13" s="10">
        <v>2.2499999999999999E-7</v>
      </c>
      <c r="CB13">
        <v>1.1379999999999999</v>
      </c>
      <c r="CC13">
        <v>0.96699999999999997</v>
      </c>
      <c r="CD13">
        <v>2.8000000000000001E-2</v>
      </c>
      <c r="CH13">
        <v>1984</v>
      </c>
      <c r="CI13">
        <v>0.05</v>
      </c>
      <c r="CJ13">
        <v>0.152</v>
      </c>
      <c r="CK13">
        <v>-0.10199999999999999</v>
      </c>
      <c r="CL13">
        <v>0.83299999999999996</v>
      </c>
      <c r="CM13" s="10">
        <v>2.2600000000000001E-8</v>
      </c>
      <c r="CN13">
        <v>6.0270000000000001</v>
      </c>
      <c r="CO13">
        <v>6.6740000000000004</v>
      </c>
      <c r="CP13">
        <v>0.13100000000000001</v>
      </c>
    </row>
    <row r="14" spans="1:231">
      <c r="A14">
        <f t="shared" si="0"/>
        <v>1981</v>
      </c>
      <c r="B14">
        <v>0</v>
      </c>
      <c r="D14">
        <v>1983</v>
      </c>
      <c r="E14">
        <v>0.73199999999999998</v>
      </c>
      <c r="F14">
        <v>0.20699999999999999</v>
      </c>
      <c r="G14">
        <v>0.52500000000000002</v>
      </c>
      <c r="H14">
        <v>0.83299999999999996</v>
      </c>
      <c r="I14" s="10">
        <v>1.6600000000000001E-9</v>
      </c>
      <c r="J14">
        <v>0.57599999999999996</v>
      </c>
      <c r="K14">
        <v>0.34100000000000003</v>
      </c>
      <c r="L14">
        <v>3.7999999999999999E-2</v>
      </c>
      <c r="O14">
        <v>1988</v>
      </c>
      <c r="P14">
        <v>0.64500000000000002</v>
      </c>
      <c r="Q14">
        <v>0.25900000000000001</v>
      </c>
      <c r="R14">
        <v>0.38500000000000001</v>
      </c>
      <c r="S14">
        <v>0.83299999999999996</v>
      </c>
      <c r="T14" s="10">
        <v>1.5700000000000002E-8</v>
      </c>
      <c r="U14">
        <v>0.28199999999999997</v>
      </c>
      <c r="V14">
        <v>0.192</v>
      </c>
      <c r="W14">
        <v>2E-3</v>
      </c>
      <c r="Z14">
        <v>1972</v>
      </c>
      <c r="AA14">
        <v>0.64300000000000002</v>
      </c>
      <c r="AB14">
        <v>0.32500000000000001</v>
      </c>
      <c r="AC14">
        <v>0.318</v>
      </c>
      <c r="AD14">
        <v>0.83299999999999996</v>
      </c>
      <c r="AE14" s="10">
        <v>1.4499999999999999E-7</v>
      </c>
      <c r="AF14">
        <v>1.5329999999999999</v>
      </c>
      <c r="AG14">
        <v>1.115</v>
      </c>
      <c r="AH14">
        <v>1E-3</v>
      </c>
      <c r="AL14">
        <v>1995</v>
      </c>
      <c r="AM14">
        <v>7.6999999999999999E-2</v>
      </c>
      <c r="AN14">
        <v>0.14299999999999999</v>
      </c>
      <c r="AO14">
        <v>-6.6000000000000003E-2</v>
      </c>
      <c r="AP14">
        <v>0.83299999999999996</v>
      </c>
      <c r="AQ14" s="10">
        <v>2.1E-7</v>
      </c>
      <c r="AR14">
        <v>1.012</v>
      </c>
      <c r="AS14">
        <v>1.081</v>
      </c>
      <c r="AT14">
        <v>0.114</v>
      </c>
      <c r="BV14">
        <v>1993</v>
      </c>
      <c r="BW14">
        <v>0.60499999999999998</v>
      </c>
      <c r="BX14">
        <v>3.4000000000000002E-2</v>
      </c>
      <c r="BY14">
        <v>0.57099999999999995</v>
      </c>
      <c r="BZ14">
        <v>0.83299999999999996</v>
      </c>
      <c r="CA14" s="10">
        <v>2.2499999999999999E-7</v>
      </c>
      <c r="CB14">
        <v>1.6759999999999999</v>
      </c>
      <c r="CC14">
        <v>0.94699999999999995</v>
      </c>
      <c r="CD14">
        <v>6.3E-2</v>
      </c>
      <c r="CH14">
        <v>1985</v>
      </c>
      <c r="CI14">
        <v>0.57299999999999995</v>
      </c>
      <c r="CJ14">
        <v>0.24</v>
      </c>
      <c r="CK14">
        <v>0.33300000000000002</v>
      </c>
      <c r="CL14">
        <v>0.83299999999999996</v>
      </c>
      <c r="CM14" s="10">
        <v>2.2600000000000001E-8</v>
      </c>
      <c r="CN14">
        <v>10.17</v>
      </c>
      <c r="CO14">
        <v>7.2859999999999996</v>
      </c>
      <c r="CP14">
        <v>0</v>
      </c>
    </row>
    <row r="15" spans="1:231">
      <c r="A15">
        <f t="shared" si="0"/>
        <v>1982</v>
      </c>
      <c r="B15">
        <v>0</v>
      </c>
      <c r="D15">
        <v>1984</v>
      </c>
      <c r="E15">
        <v>1.2E-2</v>
      </c>
      <c r="F15">
        <v>0.17100000000000001</v>
      </c>
      <c r="G15">
        <v>-0.159</v>
      </c>
      <c r="H15">
        <v>0.83299999999999996</v>
      </c>
      <c r="I15" s="10">
        <v>1.6600000000000001E-9</v>
      </c>
      <c r="J15">
        <v>0.28000000000000003</v>
      </c>
      <c r="K15">
        <v>0.32800000000000001</v>
      </c>
      <c r="L15">
        <v>0.158</v>
      </c>
      <c r="O15">
        <v>1989</v>
      </c>
      <c r="P15">
        <v>0.57099999999999995</v>
      </c>
      <c r="Q15">
        <v>0.151</v>
      </c>
      <c r="R15">
        <v>0.41899999999999998</v>
      </c>
      <c r="S15">
        <v>0.83299999999999996</v>
      </c>
      <c r="T15" s="10">
        <v>1.5700000000000002E-8</v>
      </c>
      <c r="U15">
        <v>0.26200000000000001</v>
      </c>
      <c r="V15">
        <v>0.17199999999999999</v>
      </c>
      <c r="W15">
        <v>6.0000000000000001E-3</v>
      </c>
      <c r="Z15">
        <v>1973</v>
      </c>
      <c r="AA15">
        <v>0.32900000000000001</v>
      </c>
      <c r="AB15">
        <v>0.26400000000000001</v>
      </c>
      <c r="AC15">
        <v>6.5000000000000002E-2</v>
      </c>
      <c r="AD15">
        <v>0.83299999999999996</v>
      </c>
      <c r="AE15" s="10">
        <v>1.4499999999999999E-7</v>
      </c>
      <c r="AF15">
        <v>1.119</v>
      </c>
      <c r="AG15">
        <v>1.0489999999999999</v>
      </c>
      <c r="AH15">
        <v>0.06</v>
      </c>
      <c r="AL15">
        <v>1996</v>
      </c>
      <c r="AM15">
        <v>-4.2999999999999997E-2</v>
      </c>
      <c r="AN15">
        <v>0.13900000000000001</v>
      </c>
      <c r="AO15">
        <v>-0.182</v>
      </c>
      <c r="AP15">
        <v>0.83299999999999996</v>
      </c>
      <c r="AQ15" s="10">
        <v>2.1E-7</v>
      </c>
      <c r="AR15">
        <v>0.89800000000000002</v>
      </c>
      <c r="AS15">
        <v>1.077</v>
      </c>
      <c r="AT15">
        <v>0.16800000000000001</v>
      </c>
      <c r="BV15">
        <v>1994</v>
      </c>
      <c r="BW15">
        <v>-0.378</v>
      </c>
      <c r="BX15">
        <v>-4.0000000000000001E-3</v>
      </c>
      <c r="BY15">
        <v>-0.374</v>
      </c>
      <c r="BZ15">
        <v>0.83299999999999996</v>
      </c>
      <c r="CA15" s="10">
        <v>2.2499999999999999E-7</v>
      </c>
      <c r="CB15">
        <v>0.627</v>
      </c>
      <c r="CC15">
        <v>0.91200000000000003</v>
      </c>
      <c r="CD15">
        <v>0.26400000000000001</v>
      </c>
      <c r="CH15">
        <v>1986</v>
      </c>
      <c r="CI15">
        <v>4.2000000000000003E-2</v>
      </c>
      <c r="CJ15">
        <v>0.26200000000000001</v>
      </c>
      <c r="CK15">
        <v>-0.22</v>
      </c>
      <c r="CL15">
        <v>0.83299999999999996</v>
      </c>
      <c r="CM15" s="10">
        <v>2.2600000000000001E-8</v>
      </c>
      <c r="CN15">
        <v>5.9770000000000003</v>
      </c>
      <c r="CO15">
        <v>7.4489999999999998</v>
      </c>
      <c r="CP15">
        <v>0.187</v>
      </c>
    </row>
    <row r="16" spans="1:231">
      <c r="A16">
        <f t="shared" si="0"/>
        <v>1983</v>
      </c>
      <c r="B16">
        <v>0</v>
      </c>
      <c r="D16">
        <v>1985</v>
      </c>
      <c r="E16">
        <v>-0.27900000000000003</v>
      </c>
      <c r="F16">
        <v>0.316</v>
      </c>
      <c r="G16">
        <v>-0.59599999999999997</v>
      </c>
      <c r="H16">
        <v>0.83299999999999996</v>
      </c>
      <c r="I16" s="10">
        <v>1.6600000000000001E-9</v>
      </c>
      <c r="J16">
        <v>0.20899999999999999</v>
      </c>
      <c r="K16">
        <v>0.38</v>
      </c>
      <c r="L16">
        <v>0.372</v>
      </c>
      <c r="O16">
        <v>1990</v>
      </c>
      <c r="P16">
        <v>0.752</v>
      </c>
      <c r="Q16">
        <v>8.4000000000000005E-2</v>
      </c>
      <c r="R16">
        <v>0.66700000000000004</v>
      </c>
      <c r="S16">
        <v>0.83299999999999996</v>
      </c>
      <c r="T16" s="10">
        <v>1.5700000000000002E-8</v>
      </c>
      <c r="U16">
        <v>0.313</v>
      </c>
      <c r="V16">
        <v>0.161</v>
      </c>
      <c r="W16">
        <v>0.14299999999999999</v>
      </c>
      <c r="Z16">
        <v>1974</v>
      </c>
      <c r="AA16">
        <v>0.56599999999999995</v>
      </c>
      <c r="AB16">
        <v>0.185</v>
      </c>
      <c r="AC16">
        <v>0.38100000000000001</v>
      </c>
      <c r="AD16">
        <v>0.83299999999999996</v>
      </c>
      <c r="AE16" s="10">
        <v>1.4499999999999999E-7</v>
      </c>
      <c r="AF16">
        <v>1.42</v>
      </c>
      <c r="AG16">
        <v>0.97</v>
      </c>
      <c r="AH16">
        <v>1E-3</v>
      </c>
      <c r="AL16">
        <v>1997</v>
      </c>
      <c r="AM16">
        <v>4.2000000000000003E-2</v>
      </c>
      <c r="AN16">
        <v>4.1000000000000002E-2</v>
      </c>
      <c r="AO16">
        <v>1E-3</v>
      </c>
      <c r="AP16">
        <v>0.83299999999999996</v>
      </c>
      <c r="AQ16" s="10">
        <v>2.1E-7</v>
      </c>
      <c r="AR16">
        <v>0.97699999999999998</v>
      </c>
      <c r="AS16">
        <v>0.97599999999999998</v>
      </c>
      <c r="AT16">
        <v>8.5000000000000006E-2</v>
      </c>
      <c r="BV16">
        <v>1995</v>
      </c>
      <c r="BW16">
        <v>-0.27700000000000002</v>
      </c>
      <c r="BX16">
        <v>1.4E-2</v>
      </c>
      <c r="BY16">
        <v>-0.29099999999999998</v>
      </c>
      <c r="BZ16">
        <v>0.83299999999999996</v>
      </c>
      <c r="CA16" s="10">
        <v>2.2499999999999999E-7</v>
      </c>
      <c r="CB16">
        <v>0.69399999999999995</v>
      </c>
      <c r="CC16">
        <v>0.92800000000000005</v>
      </c>
      <c r="CD16">
        <v>0.222</v>
      </c>
      <c r="CH16">
        <v>1987</v>
      </c>
      <c r="CI16">
        <v>-0.22600000000000001</v>
      </c>
      <c r="CJ16">
        <v>0.34699999999999998</v>
      </c>
      <c r="CK16">
        <v>-0.57299999999999995</v>
      </c>
      <c r="CL16">
        <v>0.83299999999999996</v>
      </c>
      <c r="CM16" s="10">
        <v>2.2600000000000001E-8</v>
      </c>
      <c r="CN16">
        <v>4.5739999999999998</v>
      </c>
      <c r="CO16">
        <v>8.1129999999999995</v>
      </c>
      <c r="CP16">
        <v>0.36199999999999999</v>
      </c>
    </row>
    <row r="17" spans="1:94">
      <c r="A17">
        <f t="shared" si="0"/>
        <v>1984</v>
      </c>
      <c r="B17">
        <v>0</v>
      </c>
      <c r="D17">
        <v>1986</v>
      </c>
      <c r="E17">
        <v>-0.27900000000000003</v>
      </c>
      <c r="F17">
        <v>0.27900000000000003</v>
      </c>
      <c r="G17">
        <v>-0.55800000000000005</v>
      </c>
      <c r="H17">
        <v>0.83299999999999996</v>
      </c>
      <c r="I17" s="10">
        <v>1.6600000000000001E-9</v>
      </c>
      <c r="J17">
        <v>0.20899999999999999</v>
      </c>
      <c r="K17">
        <v>0.36599999999999999</v>
      </c>
      <c r="L17">
        <v>0.35399999999999998</v>
      </c>
      <c r="O17">
        <v>1991</v>
      </c>
      <c r="P17">
        <v>0.17699999999999999</v>
      </c>
      <c r="Q17">
        <v>4.3999999999999997E-2</v>
      </c>
      <c r="R17">
        <v>0.13300000000000001</v>
      </c>
      <c r="S17">
        <v>0.83299999999999996</v>
      </c>
      <c r="T17" s="10">
        <v>1.5700000000000002E-8</v>
      </c>
      <c r="U17">
        <v>0.17599999999999999</v>
      </c>
      <c r="V17">
        <v>0.154</v>
      </c>
      <c r="W17">
        <v>3.6999999999999998E-2</v>
      </c>
      <c r="Z17">
        <v>1975</v>
      </c>
      <c r="AA17">
        <v>0.25</v>
      </c>
      <c r="AB17">
        <v>6.7000000000000004E-2</v>
      </c>
      <c r="AC17">
        <v>0.183</v>
      </c>
      <c r="AD17">
        <v>0.83299999999999996</v>
      </c>
      <c r="AE17" s="10">
        <v>1.4499999999999999E-7</v>
      </c>
      <c r="AF17">
        <v>1.034</v>
      </c>
      <c r="AG17">
        <v>0.86099999999999999</v>
      </c>
      <c r="AH17">
        <v>2.3E-2</v>
      </c>
      <c r="AL17">
        <v>1998</v>
      </c>
      <c r="AM17">
        <v>-3.9E-2</v>
      </c>
      <c r="AN17">
        <v>-4.3999999999999997E-2</v>
      </c>
      <c r="AO17">
        <v>4.0000000000000001E-3</v>
      </c>
      <c r="AP17">
        <v>0.83299999999999996</v>
      </c>
      <c r="AQ17" s="10">
        <v>2.1E-7</v>
      </c>
      <c r="AR17">
        <v>0.90100000000000002</v>
      </c>
      <c r="AS17">
        <v>0.89700000000000002</v>
      </c>
      <c r="AT17">
        <v>8.4000000000000005E-2</v>
      </c>
      <c r="BV17">
        <v>1996</v>
      </c>
      <c r="BW17">
        <v>-1.0999999999999999E-2</v>
      </c>
      <c r="BX17">
        <v>5.0999999999999997E-2</v>
      </c>
      <c r="BY17">
        <v>-6.2E-2</v>
      </c>
      <c r="BZ17">
        <v>0.83299999999999996</v>
      </c>
      <c r="CA17" s="10">
        <v>2.2499999999999999E-7</v>
      </c>
      <c r="CB17">
        <v>0.90500000000000003</v>
      </c>
      <c r="CC17">
        <v>0.96299999999999997</v>
      </c>
      <c r="CD17">
        <v>0.113</v>
      </c>
      <c r="CH17">
        <v>1988</v>
      </c>
      <c r="CI17">
        <v>9.5000000000000001E-2</v>
      </c>
      <c r="CJ17">
        <v>0.32300000000000001</v>
      </c>
      <c r="CK17">
        <v>-0.22800000000000001</v>
      </c>
      <c r="CL17">
        <v>0.83299999999999996</v>
      </c>
      <c r="CM17" s="10">
        <v>2.2600000000000001E-8</v>
      </c>
      <c r="CN17">
        <v>6.3040000000000003</v>
      </c>
      <c r="CO17">
        <v>7.9160000000000004</v>
      </c>
      <c r="CP17">
        <v>0.191</v>
      </c>
    </row>
    <row r="18" spans="1:94">
      <c r="A18">
        <f t="shared" si="0"/>
        <v>1985</v>
      </c>
      <c r="B18">
        <v>0</v>
      </c>
      <c r="D18">
        <v>1987</v>
      </c>
      <c r="E18">
        <v>6.3E-2</v>
      </c>
      <c r="F18">
        <v>0.378</v>
      </c>
      <c r="G18">
        <v>-0.315</v>
      </c>
      <c r="H18">
        <v>0.83299999999999996</v>
      </c>
      <c r="I18" s="10">
        <v>1.6600000000000001E-9</v>
      </c>
      <c r="J18">
        <v>0.29499999999999998</v>
      </c>
      <c r="K18">
        <v>0.40400000000000003</v>
      </c>
      <c r="L18">
        <v>0.23400000000000001</v>
      </c>
      <c r="O18">
        <v>1992</v>
      </c>
      <c r="P18">
        <v>-0.3</v>
      </c>
      <c r="Q18">
        <v>4.1000000000000002E-2</v>
      </c>
      <c r="R18">
        <v>-0.34200000000000003</v>
      </c>
      <c r="S18">
        <v>0.83299999999999996</v>
      </c>
      <c r="T18" s="10">
        <v>1.5700000000000002E-8</v>
      </c>
      <c r="U18">
        <v>0.109</v>
      </c>
      <c r="V18">
        <v>0.154</v>
      </c>
      <c r="W18">
        <v>0.248</v>
      </c>
      <c r="Z18">
        <v>1976</v>
      </c>
      <c r="AA18">
        <v>0.28799999999999998</v>
      </c>
      <c r="AB18">
        <v>0.05</v>
      </c>
      <c r="AC18">
        <v>0.23799999999999999</v>
      </c>
      <c r="AD18">
        <v>0.83299999999999996</v>
      </c>
      <c r="AE18" s="10">
        <v>1.4499999999999999E-7</v>
      </c>
      <c r="AF18">
        <v>1.075</v>
      </c>
      <c r="AG18">
        <v>0.84699999999999998</v>
      </c>
      <c r="AH18">
        <v>1.0999999999999999E-2</v>
      </c>
      <c r="AL18">
        <v>1999</v>
      </c>
      <c r="AM18">
        <v>0.38200000000000001</v>
      </c>
      <c r="AN18">
        <v>-2.5999999999999999E-2</v>
      </c>
      <c r="AO18">
        <v>0.40799999999999997</v>
      </c>
      <c r="AP18">
        <v>0.83299999999999996</v>
      </c>
      <c r="AQ18" s="10">
        <v>2.1E-7</v>
      </c>
      <c r="AR18">
        <v>1.373</v>
      </c>
      <c r="AS18">
        <v>0.91300000000000003</v>
      </c>
      <c r="AT18">
        <v>4.0000000000000001E-3</v>
      </c>
      <c r="BV18">
        <v>1997</v>
      </c>
      <c r="BW18">
        <v>-0.60399999999999998</v>
      </c>
      <c r="BX18">
        <v>-1.6E-2</v>
      </c>
      <c r="BY18">
        <v>-0.58799999999999997</v>
      </c>
      <c r="BZ18">
        <v>0.83299999999999996</v>
      </c>
      <c r="CA18" s="10">
        <v>2.2499999999999999E-7</v>
      </c>
      <c r="CB18">
        <v>0.5</v>
      </c>
      <c r="CC18">
        <v>0.9</v>
      </c>
      <c r="CD18">
        <v>0.36899999999999999</v>
      </c>
      <c r="CH18">
        <v>1989</v>
      </c>
      <c r="CI18">
        <v>0.86799999999999999</v>
      </c>
      <c r="CJ18">
        <v>0.24099999999999999</v>
      </c>
      <c r="CK18">
        <v>0.626</v>
      </c>
      <c r="CL18">
        <v>0.83299999999999996</v>
      </c>
      <c r="CM18" s="10">
        <v>2.2600000000000001E-8</v>
      </c>
      <c r="CN18">
        <v>13.656000000000001</v>
      </c>
      <c r="CO18">
        <v>7.298</v>
      </c>
      <c r="CP18">
        <v>0.104</v>
      </c>
    </row>
    <row r="19" spans="1:94">
      <c r="A19">
        <f t="shared" si="0"/>
        <v>1986</v>
      </c>
      <c r="B19">
        <v>0</v>
      </c>
      <c r="D19">
        <v>1988</v>
      </c>
      <c r="E19">
        <v>0.16500000000000001</v>
      </c>
      <c r="F19">
        <v>0.26300000000000001</v>
      </c>
      <c r="G19">
        <v>-9.7000000000000003E-2</v>
      </c>
      <c r="H19">
        <v>0.83299999999999996</v>
      </c>
      <c r="I19" s="10">
        <v>1.6600000000000001E-9</v>
      </c>
      <c r="J19">
        <v>0.32700000000000001</v>
      </c>
      <c r="K19">
        <v>0.36</v>
      </c>
      <c r="L19">
        <v>0.129</v>
      </c>
      <c r="O19">
        <v>1993</v>
      </c>
      <c r="P19">
        <v>-1.0129999999999999</v>
      </c>
      <c r="Q19">
        <v>4.7E-2</v>
      </c>
      <c r="R19">
        <v>-1.06</v>
      </c>
      <c r="S19">
        <v>0.83299999999999996</v>
      </c>
      <c r="T19" s="10">
        <v>1.5700000000000002E-8</v>
      </c>
      <c r="U19">
        <v>5.3999999999999999E-2</v>
      </c>
      <c r="V19">
        <v>0.155</v>
      </c>
      <c r="W19">
        <v>0.56999999999999995</v>
      </c>
      <c r="Z19">
        <v>1977</v>
      </c>
      <c r="AA19">
        <v>0.10299999999999999</v>
      </c>
      <c r="AB19">
        <v>0.182</v>
      </c>
      <c r="AC19">
        <v>-7.9000000000000001E-2</v>
      </c>
      <c r="AD19">
        <v>0.83299999999999996</v>
      </c>
      <c r="AE19" s="10">
        <v>1.4499999999999999E-7</v>
      </c>
      <c r="AF19">
        <v>0.89300000000000002</v>
      </c>
      <c r="AG19">
        <v>0.96699999999999997</v>
      </c>
      <c r="AH19">
        <v>0.12</v>
      </c>
      <c r="AL19">
        <v>2000</v>
      </c>
      <c r="AM19">
        <v>1E-3</v>
      </c>
      <c r="AN19">
        <v>7.8E-2</v>
      </c>
      <c r="AO19">
        <v>-7.6999999999999999E-2</v>
      </c>
      <c r="AP19">
        <v>0.83299999999999996</v>
      </c>
      <c r="AQ19" s="10">
        <v>2.1E-7</v>
      </c>
      <c r="AR19">
        <v>0.93799999999999994</v>
      </c>
      <c r="AS19">
        <v>1.014</v>
      </c>
      <c r="AT19">
        <v>0.11899999999999999</v>
      </c>
      <c r="BV19">
        <v>1998</v>
      </c>
      <c r="BW19">
        <v>-5.0999999999999997E-2</v>
      </c>
      <c r="BX19">
        <v>-0.10100000000000001</v>
      </c>
      <c r="BY19">
        <v>5.0999999999999997E-2</v>
      </c>
      <c r="BZ19">
        <v>0.83299999999999996</v>
      </c>
      <c r="CA19" s="10">
        <v>2.2499999999999999E-7</v>
      </c>
      <c r="CB19">
        <v>0.87</v>
      </c>
      <c r="CC19">
        <v>0.82699999999999996</v>
      </c>
      <c r="CD19">
        <v>6.6000000000000003E-2</v>
      </c>
      <c r="CH19">
        <v>1990</v>
      </c>
      <c r="CI19">
        <v>0.2</v>
      </c>
      <c r="CJ19">
        <v>0.11700000000000001</v>
      </c>
      <c r="CK19">
        <v>8.3000000000000004E-2</v>
      </c>
      <c r="CL19">
        <v>0.83299999999999996</v>
      </c>
      <c r="CM19" s="10">
        <v>2.2600000000000001E-8</v>
      </c>
      <c r="CN19">
        <v>7.0019999999999998</v>
      </c>
      <c r="CO19">
        <v>6.4459999999999997</v>
      </c>
      <c r="CP19">
        <v>5.3999999999999999E-2</v>
      </c>
    </row>
    <row r="20" spans="1:94">
      <c r="A20">
        <f t="shared" si="0"/>
        <v>1987</v>
      </c>
      <c r="B20">
        <v>0</v>
      </c>
      <c r="D20">
        <v>1989</v>
      </c>
      <c r="E20">
        <v>7.5999999999999998E-2</v>
      </c>
      <c r="F20">
        <v>0.20200000000000001</v>
      </c>
      <c r="G20">
        <v>-0.126</v>
      </c>
      <c r="H20">
        <v>0.83299999999999996</v>
      </c>
      <c r="I20" s="10">
        <v>1.6600000000000001E-9</v>
      </c>
      <c r="J20">
        <v>0.29899999999999999</v>
      </c>
      <c r="K20">
        <v>0.33900000000000002</v>
      </c>
      <c r="L20">
        <v>0.14199999999999999</v>
      </c>
      <c r="O20">
        <v>1994</v>
      </c>
      <c r="P20">
        <v>-0.46800000000000003</v>
      </c>
      <c r="Q20">
        <v>3.7999999999999999E-2</v>
      </c>
      <c r="R20">
        <v>-0.50700000000000001</v>
      </c>
      <c r="S20">
        <v>0.83299999999999996</v>
      </c>
      <c r="T20" s="10">
        <v>1.5700000000000002E-8</v>
      </c>
      <c r="U20">
        <v>9.2999999999999999E-2</v>
      </c>
      <c r="V20">
        <v>0.154</v>
      </c>
      <c r="W20">
        <v>0.32900000000000001</v>
      </c>
      <c r="Z20">
        <v>1978</v>
      </c>
      <c r="AA20">
        <v>0.45200000000000001</v>
      </c>
      <c r="AB20">
        <v>0.28399999999999997</v>
      </c>
      <c r="AC20">
        <v>0.16700000000000001</v>
      </c>
      <c r="AD20">
        <v>0.83299999999999996</v>
      </c>
      <c r="AE20" s="10">
        <v>1.4499999999999999E-7</v>
      </c>
      <c r="AF20">
        <v>1.266</v>
      </c>
      <c r="AG20">
        <v>1.071</v>
      </c>
      <c r="AH20">
        <v>2.7E-2</v>
      </c>
      <c r="AL20">
        <v>2001</v>
      </c>
      <c r="AM20">
        <v>-0.23200000000000001</v>
      </c>
      <c r="AN20">
        <v>0.16800000000000001</v>
      </c>
      <c r="AO20">
        <v>-0.4</v>
      </c>
      <c r="AP20">
        <v>0.83299999999999996</v>
      </c>
      <c r="AQ20" s="10">
        <v>2.1E-7</v>
      </c>
      <c r="AR20">
        <v>0.74299999999999999</v>
      </c>
      <c r="AS20">
        <v>1.1080000000000001</v>
      </c>
      <c r="AT20">
        <v>0.27700000000000002</v>
      </c>
      <c r="BV20">
        <v>1999</v>
      </c>
      <c r="BW20">
        <v>-7.4999999999999997E-2</v>
      </c>
      <c r="BX20">
        <v>-9.9000000000000005E-2</v>
      </c>
      <c r="BY20">
        <v>2.5000000000000001E-2</v>
      </c>
      <c r="BZ20">
        <v>0.83299999999999996</v>
      </c>
      <c r="CA20" s="10">
        <v>2.2499999999999999E-7</v>
      </c>
      <c r="CB20">
        <v>0.84899999999999998</v>
      </c>
      <c r="CC20">
        <v>0.82899999999999996</v>
      </c>
      <c r="CD20">
        <v>7.5999999999999998E-2</v>
      </c>
      <c r="CH20">
        <v>1991</v>
      </c>
      <c r="CI20">
        <v>0.221</v>
      </c>
      <c r="CJ20">
        <v>0.105</v>
      </c>
      <c r="CK20">
        <v>0.11600000000000001</v>
      </c>
      <c r="CL20">
        <v>0.83299999999999996</v>
      </c>
      <c r="CM20" s="10">
        <v>2.2600000000000001E-8</v>
      </c>
      <c r="CN20">
        <v>7.1509999999999998</v>
      </c>
      <c r="CO20">
        <v>6.3680000000000003</v>
      </c>
      <c r="CP20">
        <v>4.2000000000000003E-2</v>
      </c>
    </row>
    <row r="21" spans="1:94">
      <c r="A21">
        <f t="shared" si="0"/>
        <v>1988</v>
      </c>
      <c r="B21">
        <v>0</v>
      </c>
      <c r="D21">
        <v>1990</v>
      </c>
      <c r="E21">
        <v>0.80700000000000005</v>
      </c>
      <c r="F21">
        <v>0.06</v>
      </c>
      <c r="G21">
        <v>0.747</v>
      </c>
      <c r="H21">
        <v>0.83299999999999996</v>
      </c>
      <c r="I21" s="10">
        <v>1.6600000000000001E-9</v>
      </c>
      <c r="J21">
        <v>0.62</v>
      </c>
      <c r="K21">
        <v>0.29399999999999998</v>
      </c>
      <c r="L21">
        <v>0.24199999999999999</v>
      </c>
      <c r="O21">
        <v>1995</v>
      </c>
      <c r="P21">
        <v>-0.66100000000000003</v>
      </c>
      <c r="Q21">
        <v>0</v>
      </c>
      <c r="R21">
        <v>-0.66100000000000003</v>
      </c>
      <c r="S21">
        <v>0.83299999999999996</v>
      </c>
      <c r="T21" s="10">
        <v>1.5700000000000002E-8</v>
      </c>
      <c r="U21">
        <v>7.5999999999999998E-2</v>
      </c>
      <c r="V21">
        <v>0.14799999999999999</v>
      </c>
      <c r="W21">
        <v>0.40300000000000002</v>
      </c>
      <c r="Z21">
        <v>1979</v>
      </c>
      <c r="AA21">
        <v>0.76800000000000002</v>
      </c>
      <c r="AB21">
        <v>0.26100000000000001</v>
      </c>
      <c r="AC21">
        <v>0.50700000000000001</v>
      </c>
      <c r="AD21">
        <v>0.83299999999999996</v>
      </c>
      <c r="AE21" s="10">
        <v>1.4499999999999999E-7</v>
      </c>
      <c r="AF21">
        <v>1.7370000000000001</v>
      </c>
      <c r="AG21">
        <v>1.046</v>
      </c>
      <c r="AH21">
        <v>0.03</v>
      </c>
      <c r="AL21">
        <v>2002</v>
      </c>
      <c r="AM21">
        <v>-0.17499999999999999</v>
      </c>
      <c r="AN21">
        <v>1E-3</v>
      </c>
      <c r="AO21">
        <v>-0.17499999999999999</v>
      </c>
      <c r="AP21">
        <v>0.83299999999999996</v>
      </c>
      <c r="AQ21" s="10">
        <v>2.1E-7</v>
      </c>
      <c r="AR21">
        <v>0.78700000000000003</v>
      </c>
      <c r="AS21">
        <v>0.93799999999999994</v>
      </c>
      <c r="AT21">
        <v>0.16500000000000001</v>
      </c>
      <c r="BV21">
        <v>2000</v>
      </c>
      <c r="BW21">
        <v>-0.375</v>
      </c>
      <c r="BX21">
        <v>-0.06</v>
      </c>
      <c r="BY21">
        <v>-0.316</v>
      </c>
      <c r="BZ21">
        <v>0.83299999999999996</v>
      </c>
      <c r="CA21" s="10">
        <v>2.2499999999999999E-7</v>
      </c>
      <c r="CB21">
        <v>0.629</v>
      </c>
      <c r="CC21">
        <v>0.86199999999999999</v>
      </c>
      <c r="CD21">
        <v>0.23499999999999999</v>
      </c>
      <c r="CH21">
        <v>1992</v>
      </c>
      <c r="CI21">
        <v>-0.17499999999999999</v>
      </c>
      <c r="CJ21">
        <v>4.9000000000000002E-2</v>
      </c>
      <c r="CK21">
        <v>-0.224</v>
      </c>
      <c r="CL21">
        <v>0.83299999999999996</v>
      </c>
      <c r="CM21" s="10">
        <v>2.2600000000000001E-8</v>
      </c>
      <c r="CN21">
        <v>4.8120000000000003</v>
      </c>
      <c r="CO21">
        <v>6.0229999999999997</v>
      </c>
      <c r="CP21">
        <v>0.189</v>
      </c>
    </row>
    <row r="22" spans="1:94">
      <c r="A22">
        <f t="shared" si="0"/>
        <v>1989</v>
      </c>
      <c r="B22">
        <v>0</v>
      </c>
      <c r="D22">
        <v>1991</v>
      </c>
      <c r="E22">
        <v>-0.39</v>
      </c>
      <c r="F22">
        <v>0.189</v>
      </c>
      <c r="G22">
        <v>-0.57899999999999996</v>
      </c>
      <c r="H22">
        <v>0.83299999999999996</v>
      </c>
      <c r="I22" s="10">
        <v>1.6600000000000001E-9</v>
      </c>
      <c r="J22">
        <v>0.187</v>
      </c>
      <c r="K22">
        <v>0.33400000000000002</v>
      </c>
      <c r="L22">
        <v>0.36399999999999999</v>
      </c>
      <c r="O22">
        <v>1996</v>
      </c>
      <c r="P22">
        <v>0.29899999999999999</v>
      </c>
      <c r="Q22">
        <v>-3.9E-2</v>
      </c>
      <c r="R22">
        <v>0.33800000000000002</v>
      </c>
      <c r="S22">
        <v>0.83299999999999996</v>
      </c>
      <c r="T22" s="10">
        <v>1.5700000000000002E-8</v>
      </c>
      <c r="U22">
        <v>0.19900000000000001</v>
      </c>
      <c r="V22">
        <v>0.14199999999999999</v>
      </c>
      <c r="W22">
        <v>0</v>
      </c>
      <c r="Z22">
        <v>1980</v>
      </c>
      <c r="AA22">
        <v>0.19</v>
      </c>
      <c r="AB22">
        <v>0.19500000000000001</v>
      </c>
      <c r="AC22">
        <v>-5.0000000000000001E-3</v>
      </c>
      <c r="AD22">
        <v>0.83299999999999996</v>
      </c>
      <c r="AE22" s="10">
        <v>1.4499999999999999E-7</v>
      </c>
      <c r="AF22">
        <v>0.97399999999999998</v>
      </c>
      <c r="AG22">
        <v>0.98</v>
      </c>
      <c r="AH22">
        <v>8.7999999999999995E-2</v>
      </c>
      <c r="AL22">
        <v>2003</v>
      </c>
      <c r="AM22">
        <v>-2.5000000000000001E-2</v>
      </c>
      <c r="AN22">
        <v>-0.14599999999999999</v>
      </c>
      <c r="AO22">
        <v>0.121</v>
      </c>
      <c r="AP22">
        <v>0.83299999999999996</v>
      </c>
      <c r="AQ22" s="10">
        <v>2.1E-7</v>
      </c>
      <c r="AR22">
        <v>0.91400000000000003</v>
      </c>
      <c r="AS22">
        <v>0.81</v>
      </c>
      <c r="AT22">
        <v>4.1000000000000002E-2</v>
      </c>
      <c r="BV22">
        <v>2001</v>
      </c>
      <c r="BW22">
        <v>0.81499999999999995</v>
      </c>
      <c r="BX22">
        <v>5.8000000000000003E-2</v>
      </c>
      <c r="BY22">
        <v>0.75700000000000001</v>
      </c>
      <c r="BZ22">
        <v>0.83299999999999996</v>
      </c>
      <c r="CA22" s="10">
        <v>2.2499999999999999E-7</v>
      </c>
      <c r="CB22">
        <v>2.0670000000000002</v>
      </c>
      <c r="CC22">
        <v>0.96899999999999997</v>
      </c>
      <c r="CD22">
        <v>0.25800000000000001</v>
      </c>
      <c r="CH22">
        <v>1993</v>
      </c>
      <c r="CI22">
        <v>-0.04</v>
      </c>
      <c r="CJ22">
        <v>-8.7999999999999995E-2</v>
      </c>
      <c r="CK22">
        <v>4.9000000000000002E-2</v>
      </c>
      <c r="CL22">
        <v>0.83299999999999996</v>
      </c>
      <c r="CM22" s="10">
        <v>2.2600000000000001E-8</v>
      </c>
      <c r="CN22">
        <v>5.5110000000000001</v>
      </c>
      <c r="CO22">
        <v>5.2480000000000002</v>
      </c>
      <c r="CP22">
        <v>6.6000000000000003E-2</v>
      </c>
    </row>
    <row r="23" spans="1:94">
      <c r="A23">
        <f t="shared" si="0"/>
        <v>1990</v>
      </c>
      <c r="B23">
        <v>0</v>
      </c>
      <c r="D23">
        <v>1992</v>
      </c>
      <c r="E23">
        <v>6.2E-2</v>
      </c>
      <c r="F23">
        <v>7.4999999999999997E-2</v>
      </c>
      <c r="G23">
        <v>-1.2E-2</v>
      </c>
      <c r="H23">
        <v>0.83299999999999996</v>
      </c>
      <c r="I23" s="10">
        <v>1.6600000000000001E-9</v>
      </c>
      <c r="J23">
        <v>0.29499999999999998</v>
      </c>
      <c r="K23">
        <v>0.29799999999999999</v>
      </c>
      <c r="L23">
        <v>9.0999999999999998E-2</v>
      </c>
      <c r="O23">
        <v>1997</v>
      </c>
      <c r="P23">
        <v>8.5000000000000006E-2</v>
      </c>
      <c r="Q23">
        <v>-9.1999999999999998E-2</v>
      </c>
      <c r="R23">
        <v>0.17699999999999999</v>
      </c>
      <c r="S23">
        <v>0.83299999999999996</v>
      </c>
      <c r="T23" s="10">
        <v>1.5700000000000002E-8</v>
      </c>
      <c r="U23">
        <v>0.161</v>
      </c>
      <c r="V23">
        <v>0.13500000000000001</v>
      </c>
      <c r="W23">
        <v>2.4E-2</v>
      </c>
      <c r="Z23">
        <v>1981</v>
      </c>
      <c r="AA23">
        <v>0.42599999999999999</v>
      </c>
      <c r="AB23">
        <v>4.5999999999999999E-2</v>
      </c>
      <c r="AC23">
        <v>0.38</v>
      </c>
      <c r="AD23">
        <v>0.83299999999999996</v>
      </c>
      <c r="AE23" s="10">
        <v>1.4499999999999999E-7</v>
      </c>
      <c r="AF23">
        <v>1.234</v>
      </c>
      <c r="AG23">
        <v>0.84399999999999997</v>
      </c>
      <c r="AH23">
        <v>1E-3</v>
      </c>
      <c r="AL23">
        <v>2004</v>
      </c>
      <c r="AM23">
        <v>-0.19500000000000001</v>
      </c>
      <c r="AN23">
        <v>-0.17199999999999999</v>
      </c>
      <c r="AO23">
        <v>-2.4E-2</v>
      </c>
      <c r="AP23">
        <v>0.83299999999999996</v>
      </c>
      <c r="AQ23" s="10">
        <v>2.1E-7</v>
      </c>
      <c r="AR23">
        <v>0.77100000000000002</v>
      </c>
      <c r="AS23">
        <v>0.78900000000000003</v>
      </c>
      <c r="AT23">
        <v>9.6000000000000002E-2</v>
      </c>
      <c r="CH23">
        <v>1994</v>
      </c>
      <c r="CI23">
        <v>0.159</v>
      </c>
      <c r="CJ23">
        <v>2.9000000000000001E-2</v>
      </c>
      <c r="CK23">
        <v>0.13</v>
      </c>
      <c r="CL23">
        <v>0.83299999999999996</v>
      </c>
      <c r="CM23" s="10">
        <v>2.2600000000000001E-8</v>
      </c>
      <c r="CN23">
        <v>6.72</v>
      </c>
      <c r="CO23">
        <v>5.9020000000000001</v>
      </c>
      <c r="CP23">
        <v>3.7999999999999999E-2</v>
      </c>
    </row>
    <row r="24" spans="1:94">
      <c r="A24">
        <f t="shared" si="0"/>
        <v>1991</v>
      </c>
      <c r="B24">
        <v>0</v>
      </c>
      <c r="D24">
        <v>1993</v>
      </c>
      <c r="E24">
        <v>0.23400000000000001</v>
      </c>
      <c r="F24">
        <v>-0.13500000000000001</v>
      </c>
      <c r="G24">
        <v>0.36899999999999999</v>
      </c>
      <c r="H24">
        <v>0.83299999999999996</v>
      </c>
      <c r="I24" s="10">
        <v>1.6600000000000001E-9</v>
      </c>
      <c r="J24">
        <v>0.35</v>
      </c>
      <c r="K24">
        <v>0.24199999999999999</v>
      </c>
      <c r="L24">
        <v>0</v>
      </c>
      <c r="O24">
        <v>1998</v>
      </c>
      <c r="P24">
        <v>0.32700000000000001</v>
      </c>
      <c r="Q24">
        <v>-6.5000000000000002E-2</v>
      </c>
      <c r="R24">
        <v>0.39300000000000002</v>
      </c>
      <c r="S24">
        <v>0.83299999999999996</v>
      </c>
      <c r="T24" s="10">
        <v>1.5700000000000002E-8</v>
      </c>
      <c r="U24">
        <v>0.20499999999999999</v>
      </c>
      <c r="V24">
        <v>0.13800000000000001</v>
      </c>
      <c r="W24">
        <v>2E-3</v>
      </c>
      <c r="Z24">
        <v>1982</v>
      </c>
      <c r="AA24">
        <v>0.27800000000000002</v>
      </c>
      <c r="AB24">
        <v>-9.5000000000000001E-2</v>
      </c>
      <c r="AC24">
        <v>0.372</v>
      </c>
      <c r="AD24">
        <v>0.83299999999999996</v>
      </c>
      <c r="AE24" s="10">
        <v>1.4499999999999999E-7</v>
      </c>
      <c r="AF24">
        <v>1.0629999999999999</v>
      </c>
      <c r="AG24">
        <v>0.73299999999999998</v>
      </c>
      <c r="AH24">
        <v>1E-3</v>
      </c>
      <c r="AL24">
        <v>2005</v>
      </c>
      <c r="AM24">
        <v>-0.28499999999999998</v>
      </c>
      <c r="AN24">
        <v>-0.254</v>
      </c>
      <c r="AO24">
        <v>-0.03</v>
      </c>
      <c r="AP24">
        <v>0.83299999999999996</v>
      </c>
      <c r="AQ24" s="10">
        <v>2.1E-7</v>
      </c>
      <c r="AR24">
        <v>0.70499999999999996</v>
      </c>
      <c r="AS24">
        <v>0.72699999999999998</v>
      </c>
      <c r="AT24">
        <v>9.9000000000000005E-2</v>
      </c>
      <c r="CH24">
        <v>1995</v>
      </c>
      <c r="CI24">
        <v>-0.63900000000000001</v>
      </c>
      <c r="CJ24">
        <v>7.9000000000000001E-2</v>
      </c>
      <c r="CK24">
        <v>-0.71899999999999997</v>
      </c>
      <c r="CL24">
        <v>0.83299999999999996</v>
      </c>
      <c r="CM24" s="10">
        <v>2.2600000000000001E-8</v>
      </c>
      <c r="CN24">
        <v>3.0249999999999999</v>
      </c>
      <c r="CO24">
        <v>6.2069999999999999</v>
      </c>
      <c r="CP24">
        <v>0.42899999999999999</v>
      </c>
    </row>
    <row r="25" spans="1:94">
      <c r="A25">
        <f t="shared" si="0"/>
        <v>1992</v>
      </c>
      <c r="B25">
        <v>0</v>
      </c>
      <c r="D25">
        <v>1994</v>
      </c>
      <c r="E25">
        <v>-0.27800000000000002</v>
      </c>
      <c r="F25">
        <v>9.6000000000000002E-2</v>
      </c>
      <c r="G25">
        <v>-0.375</v>
      </c>
      <c r="H25">
        <v>0.83299999999999996</v>
      </c>
      <c r="I25" s="10">
        <v>1.6600000000000001E-9</v>
      </c>
      <c r="J25">
        <v>0.21</v>
      </c>
      <c r="K25">
        <v>0.30499999999999999</v>
      </c>
      <c r="L25">
        <v>0.26400000000000001</v>
      </c>
      <c r="O25">
        <v>1999</v>
      </c>
      <c r="P25">
        <v>0.104</v>
      </c>
      <c r="Q25">
        <v>0.01</v>
      </c>
      <c r="R25">
        <v>9.4E-2</v>
      </c>
      <c r="S25">
        <v>0.83299999999999996</v>
      </c>
      <c r="T25" s="10">
        <v>1.5700000000000002E-8</v>
      </c>
      <c r="U25">
        <v>0.16400000000000001</v>
      </c>
      <c r="V25">
        <v>0.14899999999999999</v>
      </c>
      <c r="W25">
        <v>0.05</v>
      </c>
      <c r="Z25">
        <v>1983</v>
      </c>
      <c r="AA25">
        <v>0.308</v>
      </c>
      <c r="AB25">
        <v>-0.17399999999999999</v>
      </c>
      <c r="AC25">
        <v>0.48199999999999998</v>
      </c>
      <c r="AD25">
        <v>0.83299999999999996</v>
      </c>
      <c r="AE25" s="10">
        <v>1.4499999999999999E-7</v>
      </c>
      <c r="AF25">
        <v>1.0960000000000001</v>
      </c>
      <c r="AG25">
        <v>0.67700000000000005</v>
      </c>
      <c r="AH25">
        <v>2.1000000000000001E-2</v>
      </c>
      <c r="AL25">
        <v>2006</v>
      </c>
      <c r="AM25">
        <v>-0.24</v>
      </c>
      <c r="AN25">
        <v>-0.154</v>
      </c>
      <c r="AO25">
        <v>-8.5999999999999993E-2</v>
      </c>
      <c r="AP25">
        <v>0.83299999999999996</v>
      </c>
      <c r="AQ25" s="10">
        <v>2.1E-7</v>
      </c>
      <c r="AR25">
        <v>0.73699999999999999</v>
      </c>
      <c r="AS25">
        <v>0.80400000000000005</v>
      </c>
      <c r="AT25">
        <v>0.124</v>
      </c>
      <c r="CH25">
        <v>1996</v>
      </c>
      <c r="CI25">
        <v>0.16700000000000001</v>
      </c>
      <c r="CJ25">
        <v>3.1E-2</v>
      </c>
      <c r="CK25">
        <v>0.13700000000000001</v>
      </c>
      <c r="CL25">
        <v>0.83299999999999996</v>
      </c>
      <c r="CM25" s="10">
        <v>2.2600000000000001E-8</v>
      </c>
      <c r="CN25">
        <v>6.7770000000000001</v>
      </c>
      <c r="CO25">
        <v>5.9109999999999996</v>
      </c>
      <c r="CP25">
        <v>3.5999999999999997E-2</v>
      </c>
    </row>
    <row r="26" spans="1:94">
      <c r="A26">
        <f t="shared" si="0"/>
        <v>1993</v>
      </c>
      <c r="B26">
        <v>0</v>
      </c>
      <c r="D26">
        <v>1995</v>
      </c>
      <c r="E26">
        <v>-0.98299999999999998</v>
      </c>
      <c r="F26">
        <v>0.14899999999999999</v>
      </c>
      <c r="G26">
        <v>-1.1319999999999999</v>
      </c>
      <c r="H26">
        <v>0.83299999999999996</v>
      </c>
      <c r="I26" s="10">
        <v>1.6600000000000001E-9</v>
      </c>
      <c r="J26">
        <v>0.104</v>
      </c>
      <c r="K26">
        <v>0.32100000000000001</v>
      </c>
      <c r="L26">
        <v>0.59599999999999997</v>
      </c>
      <c r="O26">
        <v>2000</v>
      </c>
      <c r="P26">
        <v>8.0000000000000002E-3</v>
      </c>
      <c r="Q26">
        <v>2E-3</v>
      </c>
      <c r="R26">
        <v>6.0000000000000001E-3</v>
      </c>
      <c r="S26">
        <v>0.83299999999999996</v>
      </c>
      <c r="T26" s="10">
        <v>1.5700000000000002E-8</v>
      </c>
      <c r="U26">
        <v>0.14899999999999999</v>
      </c>
      <c r="V26">
        <v>0.14799999999999999</v>
      </c>
      <c r="W26">
        <v>8.3000000000000004E-2</v>
      </c>
      <c r="Z26">
        <v>1984</v>
      </c>
      <c r="AA26">
        <v>0.36099999999999999</v>
      </c>
      <c r="AB26">
        <v>4.0000000000000001E-3</v>
      </c>
      <c r="AC26">
        <v>0.35699999999999998</v>
      </c>
      <c r="AD26">
        <v>0.83299999999999996</v>
      </c>
      <c r="AE26" s="10">
        <v>1.4499999999999999E-7</v>
      </c>
      <c r="AF26">
        <v>1.1559999999999999</v>
      </c>
      <c r="AG26">
        <v>0.80900000000000005</v>
      </c>
      <c r="AH26">
        <v>0</v>
      </c>
      <c r="CH26">
        <v>1997</v>
      </c>
      <c r="CI26">
        <v>-0.22700000000000001</v>
      </c>
      <c r="CJ26">
        <v>-8.6999999999999994E-2</v>
      </c>
      <c r="CK26">
        <v>-0.14000000000000001</v>
      </c>
      <c r="CL26">
        <v>0.83299999999999996</v>
      </c>
      <c r="CM26" s="10">
        <v>2.2600000000000001E-8</v>
      </c>
      <c r="CN26">
        <v>4.569</v>
      </c>
      <c r="CO26">
        <v>5.2549999999999999</v>
      </c>
      <c r="CP26">
        <v>0.14799999999999999</v>
      </c>
    </row>
    <row r="27" spans="1:94">
      <c r="A27">
        <f t="shared" si="0"/>
        <v>1994</v>
      </c>
      <c r="B27">
        <v>0</v>
      </c>
      <c r="D27">
        <v>1996</v>
      </c>
      <c r="E27">
        <v>4.3999999999999997E-2</v>
      </c>
      <c r="F27">
        <v>-3.0000000000000001E-3</v>
      </c>
      <c r="G27">
        <v>4.7E-2</v>
      </c>
      <c r="H27">
        <v>0.83299999999999996</v>
      </c>
      <c r="I27" s="10">
        <v>1.6600000000000001E-9</v>
      </c>
      <c r="J27">
        <v>0.28899999999999998</v>
      </c>
      <c r="K27">
        <v>0.27600000000000002</v>
      </c>
      <c r="L27">
        <v>6.7000000000000004E-2</v>
      </c>
      <c r="O27">
        <v>2001</v>
      </c>
      <c r="P27">
        <v>-8.5999999999999993E-2</v>
      </c>
      <c r="Q27">
        <v>-2.3E-2</v>
      </c>
      <c r="R27">
        <v>-6.3E-2</v>
      </c>
      <c r="S27">
        <v>0.83299999999999996</v>
      </c>
      <c r="T27" s="10">
        <v>1.5700000000000002E-8</v>
      </c>
      <c r="U27">
        <v>0.13600000000000001</v>
      </c>
      <c r="V27">
        <v>0.14399999999999999</v>
      </c>
      <c r="W27">
        <v>0.113</v>
      </c>
      <c r="Z27">
        <v>1985</v>
      </c>
      <c r="AA27">
        <v>-0.115</v>
      </c>
      <c r="AB27">
        <v>5.5E-2</v>
      </c>
      <c r="AC27">
        <v>-0.17</v>
      </c>
      <c r="AD27">
        <v>0.83299999999999996</v>
      </c>
      <c r="AE27" s="10">
        <v>1.4499999999999999E-7</v>
      </c>
      <c r="AF27">
        <v>0.71799999999999997</v>
      </c>
      <c r="AG27">
        <v>0.85099999999999998</v>
      </c>
      <c r="AH27">
        <v>0.16300000000000001</v>
      </c>
      <c r="CH27">
        <v>1998</v>
      </c>
      <c r="CI27">
        <v>-0.437</v>
      </c>
      <c r="CJ27">
        <v>-0.18</v>
      </c>
      <c r="CK27">
        <v>-0.25700000000000001</v>
      </c>
      <c r="CL27">
        <v>0.83299999999999996</v>
      </c>
      <c r="CM27" s="10">
        <v>2.2600000000000001E-8</v>
      </c>
      <c r="CN27">
        <v>3.7040000000000002</v>
      </c>
      <c r="CO27">
        <v>4.7910000000000004</v>
      </c>
      <c r="CP27">
        <v>0.20499999999999999</v>
      </c>
    </row>
    <row r="28" spans="1:94">
      <c r="A28">
        <f t="shared" si="0"/>
        <v>1995</v>
      </c>
      <c r="B28">
        <v>0</v>
      </c>
      <c r="D28">
        <v>1997</v>
      </c>
      <c r="E28">
        <v>0.42099999999999999</v>
      </c>
      <c r="F28">
        <v>-8.5999999999999993E-2</v>
      </c>
      <c r="G28">
        <v>0.50700000000000001</v>
      </c>
      <c r="H28">
        <v>0.83299999999999996</v>
      </c>
      <c r="I28" s="10">
        <v>1.6600000000000001E-9</v>
      </c>
      <c r="J28">
        <v>0.42199999999999999</v>
      </c>
      <c r="K28">
        <v>0.254</v>
      </c>
      <c r="L28">
        <v>0.03</v>
      </c>
      <c r="O28">
        <v>2002</v>
      </c>
      <c r="P28">
        <v>-0.57299999999999995</v>
      </c>
      <c r="Q28">
        <v>-0.13400000000000001</v>
      </c>
      <c r="R28">
        <v>-0.44</v>
      </c>
      <c r="S28">
        <v>0.83299999999999996</v>
      </c>
      <c r="T28" s="10">
        <v>1.5700000000000002E-8</v>
      </c>
      <c r="U28">
        <v>8.3000000000000004E-2</v>
      </c>
      <c r="V28">
        <v>0.129</v>
      </c>
      <c r="W28">
        <v>0.29599999999999999</v>
      </c>
      <c r="Z28">
        <v>1986</v>
      </c>
      <c r="AA28">
        <v>0.16700000000000001</v>
      </c>
      <c r="AB28">
        <v>0.11899999999999999</v>
      </c>
      <c r="AC28">
        <v>4.7E-2</v>
      </c>
      <c r="AD28">
        <v>0.83299999999999996</v>
      </c>
      <c r="AE28" s="10">
        <v>1.4499999999999999E-7</v>
      </c>
      <c r="AF28">
        <v>0.95199999999999996</v>
      </c>
      <c r="AG28">
        <v>0.90800000000000003</v>
      </c>
      <c r="AH28">
        <v>6.7000000000000004E-2</v>
      </c>
      <c r="CH28">
        <v>1999</v>
      </c>
      <c r="CI28">
        <v>-5.3999999999999999E-2</v>
      </c>
      <c r="CJ28">
        <v>-0.20599999999999999</v>
      </c>
      <c r="CK28">
        <v>0.152</v>
      </c>
      <c r="CL28">
        <v>0.83299999999999996</v>
      </c>
      <c r="CM28" s="10">
        <v>2.2600000000000001E-8</v>
      </c>
      <c r="CN28">
        <v>5.4340000000000002</v>
      </c>
      <c r="CO28">
        <v>4.6660000000000004</v>
      </c>
      <c r="CP28">
        <v>3.1E-2</v>
      </c>
    </row>
    <row r="29" spans="1:94">
      <c r="A29">
        <f t="shared" si="0"/>
        <v>1996</v>
      </c>
      <c r="B29">
        <v>0</v>
      </c>
      <c r="D29">
        <v>1998</v>
      </c>
      <c r="E29">
        <v>0.154</v>
      </c>
      <c r="F29">
        <v>-0.192</v>
      </c>
      <c r="G29">
        <v>0.34599999999999997</v>
      </c>
      <c r="H29">
        <v>0.83299999999999996</v>
      </c>
      <c r="I29" s="10">
        <v>1.6600000000000001E-9</v>
      </c>
      <c r="J29">
        <v>0.32300000000000001</v>
      </c>
      <c r="K29">
        <v>0.22800000000000001</v>
      </c>
      <c r="L29">
        <v>0</v>
      </c>
      <c r="O29">
        <v>2003</v>
      </c>
      <c r="P29">
        <v>-4.2999999999999997E-2</v>
      </c>
      <c r="Q29">
        <v>-0.253</v>
      </c>
      <c r="R29">
        <v>0.21</v>
      </c>
      <c r="S29">
        <v>0.83299999999999996</v>
      </c>
      <c r="T29" s="10">
        <v>1.5700000000000002E-8</v>
      </c>
      <c r="U29">
        <v>0.14199999999999999</v>
      </c>
      <c r="V29">
        <v>0.115</v>
      </c>
      <c r="W29">
        <v>1.6E-2</v>
      </c>
      <c r="Z29">
        <v>1987</v>
      </c>
      <c r="AA29">
        <v>0.20699999999999999</v>
      </c>
      <c r="AB29">
        <v>0.22800000000000001</v>
      </c>
      <c r="AC29">
        <v>-2.1000000000000001E-2</v>
      </c>
      <c r="AD29">
        <v>0.83299999999999996</v>
      </c>
      <c r="AE29" s="10">
        <v>1.4499999999999999E-7</v>
      </c>
      <c r="AF29">
        <v>0.99099999999999999</v>
      </c>
      <c r="AG29">
        <v>1.012</v>
      </c>
      <c r="AH29">
        <v>9.5000000000000001E-2</v>
      </c>
      <c r="CH29">
        <v>2000</v>
      </c>
      <c r="CI29">
        <v>0.14399999999999999</v>
      </c>
      <c r="CJ29">
        <v>-0.06</v>
      </c>
      <c r="CK29">
        <v>0.20399999999999999</v>
      </c>
      <c r="CL29">
        <v>0.83299999999999996</v>
      </c>
      <c r="CM29" s="10">
        <v>2.2600000000000001E-8</v>
      </c>
      <c r="CN29">
        <v>6.6239999999999997</v>
      </c>
      <c r="CO29">
        <v>5.4020000000000001</v>
      </c>
      <c r="CP29">
        <v>1.7999999999999999E-2</v>
      </c>
    </row>
    <row r="30" spans="1:94">
      <c r="A30">
        <f t="shared" si="0"/>
        <v>1997</v>
      </c>
      <c r="B30">
        <v>0</v>
      </c>
      <c r="D30">
        <v>1999</v>
      </c>
      <c r="E30">
        <v>-0.90600000000000003</v>
      </c>
      <c r="F30">
        <v>-0.17599999999999999</v>
      </c>
      <c r="G30">
        <v>-0.73</v>
      </c>
      <c r="H30">
        <v>0.83299999999999996</v>
      </c>
      <c r="I30" s="10">
        <v>1.6600000000000001E-9</v>
      </c>
      <c r="J30">
        <v>0.112</v>
      </c>
      <c r="K30">
        <v>0.23200000000000001</v>
      </c>
      <c r="L30">
        <v>0.434</v>
      </c>
      <c r="O30">
        <v>2004</v>
      </c>
      <c r="P30">
        <v>0.02</v>
      </c>
      <c r="Q30">
        <v>-0.27400000000000002</v>
      </c>
      <c r="R30">
        <v>0.29399999999999998</v>
      </c>
      <c r="S30">
        <v>0.83299999999999996</v>
      </c>
      <c r="T30" s="10">
        <v>1.5700000000000002E-8</v>
      </c>
      <c r="U30">
        <v>0.151</v>
      </c>
      <c r="V30">
        <v>0.112</v>
      </c>
      <c r="W30">
        <v>3.0000000000000001E-3</v>
      </c>
      <c r="Z30">
        <v>1988</v>
      </c>
      <c r="AA30">
        <v>0.246</v>
      </c>
      <c r="AB30">
        <v>0.29199999999999998</v>
      </c>
      <c r="AC30">
        <v>-4.5999999999999999E-2</v>
      </c>
      <c r="AD30">
        <v>0.83299999999999996</v>
      </c>
      <c r="AE30" s="10">
        <v>1.4499999999999999E-7</v>
      </c>
      <c r="AF30">
        <v>1.03</v>
      </c>
      <c r="AG30">
        <v>1.079</v>
      </c>
      <c r="AH30">
        <v>0.106</v>
      </c>
      <c r="CH30">
        <v>2001</v>
      </c>
      <c r="CI30">
        <v>0.83699999999999997</v>
      </c>
      <c r="CJ30">
        <v>-8.3000000000000004E-2</v>
      </c>
      <c r="CK30">
        <v>0.92</v>
      </c>
      <c r="CL30">
        <v>0.83299999999999996</v>
      </c>
      <c r="CM30" s="10">
        <v>2.2600000000000001E-8</v>
      </c>
      <c r="CN30">
        <v>13.243</v>
      </c>
      <c r="CO30">
        <v>5.2789999999999999</v>
      </c>
      <c r="CP30">
        <v>0.59899999999999998</v>
      </c>
    </row>
    <row r="31" spans="1:94">
      <c r="A31">
        <f t="shared" si="0"/>
        <v>1998</v>
      </c>
      <c r="B31">
        <v>0</v>
      </c>
      <c r="D31">
        <v>2001</v>
      </c>
      <c r="E31">
        <v>0.9</v>
      </c>
      <c r="F31">
        <v>-0.20599999999999999</v>
      </c>
      <c r="G31">
        <v>1.107</v>
      </c>
      <c r="H31">
        <v>0.83299999999999996</v>
      </c>
      <c r="I31" s="10">
        <v>1.6600000000000001E-9</v>
      </c>
      <c r="J31">
        <v>0.68100000000000005</v>
      </c>
      <c r="K31">
        <v>0.22500000000000001</v>
      </c>
      <c r="L31">
        <v>1.296</v>
      </c>
      <c r="O31">
        <v>2005</v>
      </c>
      <c r="P31">
        <v>-0.41499999999999998</v>
      </c>
      <c r="Q31">
        <v>-0.23599999999999999</v>
      </c>
      <c r="R31">
        <v>-0.17899999999999999</v>
      </c>
      <c r="S31">
        <v>0.83299999999999996</v>
      </c>
      <c r="T31" s="10">
        <v>1.5700000000000002E-8</v>
      </c>
      <c r="U31">
        <v>9.8000000000000004E-2</v>
      </c>
      <c r="V31">
        <v>0.11700000000000001</v>
      </c>
      <c r="W31">
        <v>0.16700000000000001</v>
      </c>
      <c r="Z31">
        <v>1989</v>
      </c>
      <c r="AA31">
        <v>-3.2000000000000001E-2</v>
      </c>
      <c r="AB31">
        <v>0.17799999999999999</v>
      </c>
      <c r="AC31">
        <v>-0.21</v>
      </c>
      <c r="AD31">
        <v>0.83299999999999996</v>
      </c>
      <c r="AE31" s="10">
        <v>1.4499999999999999E-7</v>
      </c>
      <c r="AF31">
        <v>0.78</v>
      </c>
      <c r="AG31">
        <v>0.96299999999999997</v>
      </c>
      <c r="AH31">
        <v>0.182</v>
      </c>
      <c r="CH31">
        <v>2002</v>
      </c>
      <c r="CI31">
        <v>0.35599999999999998</v>
      </c>
      <c r="CJ31">
        <v>-0.183</v>
      </c>
      <c r="CK31">
        <v>0.53800000000000003</v>
      </c>
      <c r="CL31">
        <v>0.83299999999999996</v>
      </c>
      <c r="CM31" s="10">
        <v>2.2600000000000001E-8</v>
      </c>
      <c r="CN31">
        <v>8.1809999999999992</v>
      </c>
      <c r="CO31">
        <v>4.7750000000000004</v>
      </c>
      <c r="CP31">
        <v>4.4999999999999998E-2</v>
      </c>
    </row>
    <row r="32" spans="1:94">
      <c r="A32">
        <f t="shared" si="0"/>
        <v>1999</v>
      </c>
      <c r="B32">
        <v>0</v>
      </c>
      <c r="D32">
        <v>2002</v>
      </c>
      <c r="E32">
        <v>4.9000000000000002E-2</v>
      </c>
      <c r="F32">
        <v>-0.29099999999999998</v>
      </c>
      <c r="G32">
        <v>0.34</v>
      </c>
      <c r="H32">
        <v>0.83299999999999996</v>
      </c>
      <c r="I32" s="10">
        <v>1.6600000000000001E-9</v>
      </c>
      <c r="J32">
        <v>0.29099999999999998</v>
      </c>
      <c r="K32">
        <v>0.20699999999999999</v>
      </c>
      <c r="L32">
        <v>0</v>
      </c>
      <c r="O32">
        <v>2006</v>
      </c>
      <c r="P32">
        <v>-2.1999999999999999E-2</v>
      </c>
      <c r="Q32">
        <v>-9.5000000000000001E-2</v>
      </c>
      <c r="R32">
        <v>7.2999999999999995E-2</v>
      </c>
      <c r="S32">
        <v>0.83299999999999996</v>
      </c>
      <c r="T32" s="10">
        <v>1.5700000000000002E-8</v>
      </c>
      <c r="U32">
        <v>0.14499999999999999</v>
      </c>
      <c r="V32">
        <v>0.13400000000000001</v>
      </c>
      <c r="W32">
        <v>5.7000000000000002E-2</v>
      </c>
      <c r="Z32">
        <v>1990</v>
      </c>
      <c r="AA32">
        <v>0.27700000000000002</v>
      </c>
      <c r="AB32">
        <v>0.01</v>
      </c>
      <c r="AC32">
        <v>0.26700000000000002</v>
      </c>
      <c r="AD32">
        <v>0.83299999999999996</v>
      </c>
      <c r="AE32" s="10">
        <v>1.4499999999999999E-7</v>
      </c>
      <c r="AF32">
        <v>1.0629999999999999</v>
      </c>
      <c r="AG32">
        <v>0.81399999999999995</v>
      </c>
      <c r="AH32">
        <v>6.0000000000000001E-3</v>
      </c>
      <c r="CH32">
        <v>2003</v>
      </c>
      <c r="CI32">
        <v>-0.36</v>
      </c>
      <c r="CJ32">
        <v>-0.34</v>
      </c>
      <c r="CK32">
        <v>-0.02</v>
      </c>
      <c r="CL32">
        <v>0.83299999999999996</v>
      </c>
      <c r="CM32" s="10">
        <v>2.2600000000000001E-8</v>
      </c>
      <c r="CN32">
        <v>3.9990000000000001</v>
      </c>
      <c r="CO32">
        <v>4.0810000000000004</v>
      </c>
      <c r="CP32">
        <v>9.4E-2</v>
      </c>
    </row>
    <row r="33" spans="1:94">
      <c r="A33">
        <f t="shared" si="0"/>
        <v>2000</v>
      </c>
      <c r="B33">
        <v>0</v>
      </c>
      <c r="D33">
        <v>2003</v>
      </c>
      <c r="E33">
        <v>-0.151</v>
      </c>
      <c r="F33">
        <v>-0.307</v>
      </c>
      <c r="G33">
        <v>0.156</v>
      </c>
      <c r="H33">
        <v>0.83299999999999996</v>
      </c>
      <c r="I33" s="10">
        <v>1.6600000000000001E-9</v>
      </c>
      <c r="J33">
        <v>0.23799999999999999</v>
      </c>
      <c r="K33">
        <v>0.20399999999999999</v>
      </c>
      <c r="L33">
        <v>0.03</v>
      </c>
      <c r="Z33">
        <v>1991</v>
      </c>
      <c r="AA33">
        <v>-1.0999999999999999E-2</v>
      </c>
      <c r="AB33">
        <v>-7.8E-2</v>
      </c>
      <c r="AC33">
        <v>6.7000000000000004E-2</v>
      </c>
      <c r="AD33">
        <v>0.83299999999999996</v>
      </c>
      <c r="AE33" s="10">
        <v>1.4499999999999999E-7</v>
      </c>
      <c r="AF33">
        <v>0.79700000000000004</v>
      </c>
      <c r="AG33">
        <v>0.745</v>
      </c>
      <c r="AH33">
        <v>5.8999999999999997E-2</v>
      </c>
      <c r="CH33">
        <v>2004</v>
      </c>
      <c r="CI33">
        <v>-0.874</v>
      </c>
      <c r="CJ33">
        <v>-0.38500000000000001</v>
      </c>
      <c r="CK33">
        <v>-0.48899999999999999</v>
      </c>
      <c r="CL33">
        <v>0.83299999999999996</v>
      </c>
      <c r="CM33" s="10">
        <v>2.2600000000000001E-8</v>
      </c>
      <c r="CN33">
        <v>2.3929999999999998</v>
      </c>
      <c r="CO33">
        <v>3.9009999999999998</v>
      </c>
      <c r="CP33">
        <v>0.32100000000000001</v>
      </c>
    </row>
    <row r="34" spans="1:94">
      <c r="A34">
        <f t="shared" si="0"/>
        <v>2001</v>
      </c>
      <c r="B34">
        <v>0</v>
      </c>
      <c r="D34">
        <v>2004</v>
      </c>
      <c r="E34">
        <v>-1.1180000000000001</v>
      </c>
      <c r="F34">
        <v>-0.45800000000000002</v>
      </c>
      <c r="G34">
        <v>-0.66</v>
      </c>
      <c r="H34">
        <v>0.83299999999999996</v>
      </c>
      <c r="I34" s="10">
        <v>1.6600000000000001E-9</v>
      </c>
      <c r="J34">
        <v>9.0999999999999998E-2</v>
      </c>
      <c r="K34">
        <v>0.17499999999999999</v>
      </c>
      <c r="L34">
        <v>0.40300000000000002</v>
      </c>
      <c r="Z34">
        <v>1992</v>
      </c>
      <c r="AA34">
        <v>3.4000000000000002E-2</v>
      </c>
      <c r="AB34">
        <v>-0.08</v>
      </c>
      <c r="AC34">
        <v>0.114</v>
      </c>
      <c r="AD34">
        <v>0.83299999999999996</v>
      </c>
      <c r="AE34" s="10">
        <v>1.4499999999999999E-7</v>
      </c>
      <c r="AF34">
        <v>0.83299999999999996</v>
      </c>
      <c r="AG34">
        <v>0.74399999999999999</v>
      </c>
      <c r="AH34">
        <v>4.2999999999999997E-2</v>
      </c>
      <c r="CH34">
        <v>2005</v>
      </c>
      <c r="CI34">
        <v>-1.5429999999999999</v>
      </c>
      <c r="CJ34">
        <v>-0.41599999999999998</v>
      </c>
      <c r="CK34">
        <v>-1.127</v>
      </c>
      <c r="CL34">
        <v>0.83299999999999996</v>
      </c>
      <c r="CM34" s="10">
        <v>2.2600000000000001E-8</v>
      </c>
      <c r="CN34">
        <v>1.226</v>
      </c>
      <c r="CO34">
        <v>3.782</v>
      </c>
      <c r="CP34">
        <v>0.59399999999999997</v>
      </c>
    </row>
    <row r="35" spans="1:94">
      <c r="A35">
        <f t="shared" si="0"/>
        <v>2002</v>
      </c>
      <c r="B35">
        <v>0</v>
      </c>
      <c r="D35">
        <v>2005</v>
      </c>
      <c r="E35">
        <v>-0.98499999999999999</v>
      </c>
      <c r="F35">
        <v>-0.41199999999999998</v>
      </c>
      <c r="G35">
        <v>-0.57299999999999995</v>
      </c>
      <c r="H35">
        <v>0.83299999999999996</v>
      </c>
      <c r="I35" s="10">
        <v>1.6600000000000001E-9</v>
      </c>
      <c r="J35">
        <v>0.10299999999999999</v>
      </c>
      <c r="K35">
        <v>0.183</v>
      </c>
      <c r="L35">
        <v>0.36099999999999999</v>
      </c>
      <c r="Z35">
        <v>1993</v>
      </c>
      <c r="AA35">
        <v>-0.60799999999999998</v>
      </c>
      <c r="AB35">
        <v>-0.111</v>
      </c>
      <c r="AC35">
        <v>-0.497</v>
      </c>
      <c r="AD35">
        <v>0.83299999999999996</v>
      </c>
      <c r="AE35" s="10">
        <v>1.4499999999999999E-7</v>
      </c>
      <c r="AF35">
        <v>0.439</v>
      </c>
      <c r="AG35">
        <v>0.72099999999999997</v>
      </c>
      <c r="AH35">
        <v>0.32500000000000001</v>
      </c>
    </row>
    <row r="36" spans="1:94">
      <c r="A36">
        <f t="shared" si="0"/>
        <v>2003</v>
      </c>
      <c r="B36">
        <v>0</v>
      </c>
      <c r="D36">
        <v>2006</v>
      </c>
      <c r="E36">
        <v>0.30499999999999999</v>
      </c>
      <c r="F36">
        <v>-9.7000000000000003E-2</v>
      </c>
      <c r="G36">
        <v>0.40200000000000002</v>
      </c>
      <c r="H36">
        <v>0.83299999999999996</v>
      </c>
      <c r="I36" s="10">
        <v>1.6600000000000001E-9</v>
      </c>
      <c r="J36">
        <v>0.376</v>
      </c>
      <c r="K36">
        <v>0.251</v>
      </c>
      <c r="L36">
        <v>3.0000000000000001E-3</v>
      </c>
      <c r="Z36">
        <v>1994</v>
      </c>
      <c r="AA36">
        <v>-7.5999999999999998E-2</v>
      </c>
      <c r="AB36">
        <v>-0.13800000000000001</v>
      </c>
      <c r="AC36">
        <v>6.2E-2</v>
      </c>
      <c r="AD36">
        <v>0.83299999999999996</v>
      </c>
      <c r="AE36" s="10">
        <v>1.4499999999999999E-7</v>
      </c>
      <c r="AF36">
        <v>0.747</v>
      </c>
      <c r="AG36">
        <v>0.70199999999999996</v>
      </c>
      <c r="AH36">
        <v>6.0999999999999999E-2</v>
      </c>
    </row>
    <row r="37" spans="1:94">
      <c r="A37">
        <f t="shared" si="0"/>
        <v>2004</v>
      </c>
      <c r="B37">
        <v>0</v>
      </c>
      <c r="Z37">
        <v>1995</v>
      </c>
      <c r="AA37">
        <v>-0.5</v>
      </c>
      <c r="AB37">
        <v>-0.10100000000000001</v>
      </c>
      <c r="AC37">
        <v>-0.39900000000000002</v>
      </c>
      <c r="AD37">
        <v>0.83299999999999996</v>
      </c>
      <c r="AE37" s="10">
        <v>1.4499999999999999E-7</v>
      </c>
      <c r="AF37">
        <v>0.48899999999999999</v>
      </c>
      <c r="AG37">
        <v>0.72799999999999998</v>
      </c>
      <c r="AH37">
        <v>0.27600000000000002</v>
      </c>
    </row>
    <row r="38" spans="1:94">
      <c r="A38">
        <f t="shared" si="0"/>
        <v>2005</v>
      </c>
      <c r="B38">
        <v>0</v>
      </c>
      <c r="Z38">
        <v>1996</v>
      </c>
      <c r="AA38">
        <v>-0.43</v>
      </c>
      <c r="AB38">
        <v>-8.6999999999999994E-2</v>
      </c>
      <c r="AC38">
        <v>-0.34300000000000003</v>
      </c>
      <c r="AD38">
        <v>0.83299999999999996</v>
      </c>
      <c r="AE38" s="10">
        <v>1.4499999999999999E-7</v>
      </c>
      <c r="AF38">
        <v>0.52400000000000002</v>
      </c>
      <c r="AG38">
        <v>0.73899999999999999</v>
      </c>
      <c r="AH38">
        <v>0.248</v>
      </c>
    </row>
    <row r="39" spans="1:94">
      <c r="A39">
        <f t="shared" si="0"/>
        <v>2006</v>
      </c>
      <c r="B39">
        <v>0</v>
      </c>
      <c r="Z39">
        <v>1997</v>
      </c>
      <c r="AA39">
        <v>-0.63600000000000001</v>
      </c>
      <c r="AB39">
        <v>-0.17100000000000001</v>
      </c>
      <c r="AC39">
        <v>-0.46600000000000003</v>
      </c>
      <c r="AD39">
        <v>0.83299999999999996</v>
      </c>
      <c r="AE39" s="10">
        <v>1.4499999999999999E-7</v>
      </c>
      <c r="AF39">
        <v>0.42599999999999999</v>
      </c>
      <c r="AG39">
        <v>0.67900000000000005</v>
      </c>
      <c r="AH39">
        <v>0.309</v>
      </c>
    </row>
    <row r="40" spans="1:94">
      <c r="A40">
        <f t="shared" si="0"/>
        <v>2007</v>
      </c>
      <c r="B40">
        <v>0</v>
      </c>
      <c r="Z40">
        <v>1998</v>
      </c>
      <c r="AA40">
        <v>-0.47</v>
      </c>
      <c r="AB40">
        <v>-0.26500000000000001</v>
      </c>
      <c r="AC40">
        <v>-0.20599999999999999</v>
      </c>
      <c r="AD40">
        <v>0.83299999999999996</v>
      </c>
      <c r="AE40" s="10">
        <v>1.4499999999999999E-7</v>
      </c>
      <c r="AF40">
        <v>0.503</v>
      </c>
      <c r="AG40">
        <v>0.61799999999999999</v>
      </c>
      <c r="AH40">
        <v>0.18</v>
      </c>
    </row>
    <row r="41" spans="1:94">
      <c r="A41">
        <f t="shared" si="0"/>
        <v>2008</v>
      </c>
      <c r="B41">
        <v>0</v>
      </c>
      <c r="Z41">
        <v>1999</v>
      </c>
      <c r="AA41">
        <v>-0.44</v>
      </c>
      <c r="AB41">
        <v>-0.26</v>
      </c>
      <c r="AC41">
        <v>-0.18</v>
      </c>
      <c r="AD41">
        <v>0.83299999999999996</v>
      </c>
      <c r="AE41" s="10">
        <v>1.4499999999999999E-7</v>
      </c>
      <c r="AF41">
        <v>0.51900000000000002</v>
      </c>
      <c r="AG41">
        <v>0.621</v>
      </c>
      <c r="AH41">
        <v>0.16800000000000001</v>
      </c>
    </row>
    <row r="42" spans="1:94">
      <c r="A42">
        <f t="shared" si="0"/>
        <v>2009</v>
      </c>
      <c r="B42">
        <v>0</v>
      </c>
      <c r="Z42">
        <v>2000</v>
      </c>
      <c r="AA42">
        <v>-0.29599999999999999</v>
      </c>
      <c r="AB42">
        <v>-0.17299999999999999</v>
      </c>
      <c r="AC42">
        <v>-0.124</v>
      </c>
      <c r="AD42">
        <v>0.83299999999999996</v>
      </c>
      <c r="AE42" s="10">
        <v>1.4499999999999999E-7</v>
      </c>
      <c r="AF42">
        <v>0.59899999999999998</v>
      </c>
      <c r="AG42">
        <v>0.67800000000000005</v>
      </c>
      <c r="AH42">
        <v>0.14099999999999999</v>
      </c>
    </row>
    <row r="43" spans="1:94">
      <c r="A43">
        <f t="shared" si="0"/>
        <v>2010</v>
      </c>
      <c r="B43">
        <v>0</v>
      </c>
      <c r="Z43">
        <v>2001</v>
      </c>
      <c r="AA43">
        <v>-0.70799999999999996</v>
      </c>
      <c r="AB43">
        <v>-6.9000000000000006E-2</v>
      </c>
      <c r="AC43">
        <v>-0.63900000000000001</v>
      </c>
      <c r="AD43">
        <v>0.83299999999999996</v>
      </c>
      <c r="AE43" s="10">
        <v>1.4499999999999999E-7</v>
      </c>
      <c r="AF43">
        <v>0.39700000000000002</v>
      </c>
      <c r="AG43">
        <v>0.752</v>
      </c>
      <c r="AH43">
        <v>0.39300000000000002</v>
      </c>
    </row>
    <row r="44" spans="1:94">
      <c r="A44">
        <f t="shared" si="0"/>
        <v>2011</v>
      </c>
      <c r="B44">
        <v>0</v>
      </c>
      <c r="Z44">
        <v>2002</v>
      </c>
      <c r="AA44">
        <v>-0.70799999999999996</v>
      </c>
      <c r="AB44">
        <v>-0.191</v>
      </c>
      <c r="AC44">
        <v>-0.51700000000000002</v>
      </c>
      <c r="AD44">
        <v>0.83299999999999996</v>
      </c>
      <c r="AE44" s="10">
        <v>1.4499999999999999E-7</v>
      </c>
      <c r="AF44">
        <v>0.39700000000000002</v>
      </c>
      <c r="AG44">
        <v>0.66600000000000004</v>
      </c>
      <c r="AH44">
        <v>0.33500000000000002</v>
      </c>
    </row>
    <row r="45" spans="1:94">
      <c r="A45">
        <f t="shared" si="0"/>
        <v>2012</v>
      </c>
      <c r="B45">
        <v>0</v>
      </c>
      <c r="Z45">
        <v>2003</v>
      </c>
      <c r="AA45">
        <v>-0.53300000000000003</v>
      </c>
      <c r="AB45">
        <v>-0.35099999999999998</v>
      </c>
      <c r="AC45">
        <v>-0.18099999999999999</v>
      </c>
      <c r="AD45">
        <v>0.83299999999999996</v>
      </c>
      <c r="AE45" s="10">
        <v>1.4499999999999999E-7</v>
      </c>
      <c r="AF45">
        <v>0.47299999999999998</v>
      </c>
      <c r="AG45">
        <v>0.56699999999999995</v>
      </c>
      <c r="AH45">
        <v>0.16800000000000001</v>
      </c>
    </row>
    <row r="46" spans="1:94">
      <c r="A46">
        <f t="shared" ref="A46:A100" si="1">A45+1</f>
        <v>2013</v>
      </c>
      <c r="B46">
        <v>0</v>
      </c>
      <c r="Z46">
        <v>2004</v>
      </c>
      <c r="AA46">
        <v>-0.29799999999999999</v>
      </c>
      <c r="AB46">
        <v>-0.38400000000000001</v>
      </c>
      <c r="AC46">
        <v>8.6999999999999994E-2</v>
      </c>
      <c r="AD46">
        <v>0.83299999999999996</v>
      </c>
      <c r="AE46" s="10">
        <v>1.4499999999999999E-7</v>
      </c>
      <c r="AF46">
        <v>0.59799999999999998</v>
      </c>
      <c r="AG46">
        <v>0.54900000000000004</v>
      </c>
      <c r="AH46">
        <v>5.1999999999999998E-2</v>
      </c>
    </row>
    <row r="47" spans="1:94">
      <c r="A47">
        <f t="shared" si="1"/>
        <v>2014</v>
      </c>
      <c r="B47">
        <v>0</v>
      </c>
      <c r="Z47">
        <v>2005</v>
      </c>
      <c r="AA47">
        <v>-0.61399999999999999</v>
      </c>
      <c r="AB47">
        <v>-0.46500000000000002</v>
      </c>
      <c r="AC47">
        <v>-0.14899999999999999</v>
      </c>
      <c r="AD47">
        <v>0.83299999999999996</v>
      </c>
      <c r="AE47" s="10">
        <v>1.4499999999999999E-7</v>
      </c>
      <c r="AF47">
        <v>0.436</v>
      </c>
      <c r="AG47">
        <v>0.50600000000000001</v>
      </c>
      <c r="AH47">
        <v>0.153</v>
      </c>
    </row>
    <row r="48" spans="1:94">
      <c r="A48">
        <f t="shared" si="1"/>
        <v>2015</v>
      </c>
      <c r="B48">
        <v>0</v>
      </c>
      <c r="Z48">
        <v>2006</v>
      </c>
      <c r="AA48">
        <v>-0.22600000000000001</v>
      </c>
      <c r="AB48">
        <v>-0.39800000000000002</v>
      </c>
      <c r="AC48">
        <v>0.17199999999999999</v>
      </c>
      <c r="AD48">
        <v>0.83299999999999996</v>
      </c>
      <c r="AE48" s="10">
        <v>1.4499999999999999E-7</v>
      </c>
      <c r="AF48">
        <v>0.64300000000000002</v>
      </c>
      <c r="AG48">
        <v>0.54100000000000004</v>
      </c>
      <c r="AH48">
        <v>2.5999999999999999E-2</v>
      </c>
    </row>
    <row r="49" spans="1:2">
      <c r="A49">
        <f t="shared" si="1"/>
        <v>2016</v>
      </c>
      <c r="B49">
        <v>0</v>
      </c>
    </row>
    <row r="50" spans="1:2">
      <c r="A50">
        <f t="shared" si="1"/>
        <v>2017</v>
      </c>
      <c r="B50">
        <v>0</v>
      </c>
    </row>
    <row r="51" spans="1:2">
      <c r="A51">
        <f t="shared" si="1"/>
        <v>2018</v>
      </c>
      <c r="B51">
        <v>0</v>
      </c>
    </row>
    <row r="52" spans="1:2">
      <c r="A52">
        <f t="shared" si="1"/>
        <v>2019</v>
      </c>
      <c r="B52">
        <v>0</v>
      </c>
    </row>
    <row r="53" spans="1:2">
      <c r="A53">
        <f t="shared" si="1"/>
        <v>2020</v>
      </c>
      <c r="B53">
        <v>0</v>
      </c>
    </row>
    <row r="54" spans="1:2">
      <c r="A54">
        <f t="shared" si="1"/>
        <v>2021</v>
      </c>
      <c r="B54">
        <v>0</v>
      </c>
    </row>
    <row r="55" spans="1:2">
      <c r="A55">
        <f t="shared" si="1"/>
        <v>2022</v>
      </c>
      <c r="B55">
        <v>0</v>
      </c>
    </row>
    <row r="56" spans="1:2">
      <c r="A56">
        <f t="shared" si="1"/>
        <v>2023</v>
      </c>
      <c r="B56">
        <v>0</v>
      </c>
    </row>
    <row r="57" spans="1:2">
      <c r="A57">
        <f t="shared" si="1"/>
        <v>2024</v>
      </c>
      <c r="B57">
        <v>0</v>
      </c>
    </row>
    <row r="58" spans="1:2">
      <c r="A58">
        <f t="shared" si="1"/>
        <v>2025</v>
      </c>
      <c r="B58">
        <v>0</v>
      </c>
    </row>
    <row r="59" spans="1:2">
      <c r="A59">
        <f t="shared" si="1"/>
        <v>2026</v>
      </c>
      <c r="B59">
        <v>0</v>
      </c>
    </row>
    <row r="60" spans="1:2">
      <c r="A60">
        <f t="shared" si="1"/>
        <v>2027</v>
      </c>
      <c r="B60">
        <v>0</v>
      </c>
    </row>
    <row r="61" spans="1:2">
      <c r="A61">
        <f t="shared" si="1"/>
        <v>2028</v>
      </c>
      <c r="B61">
        <v>0</v>
      </c>
    </row>
    <row r="62" spans="1:2">
      <c r="A62">
        <f t="shared" si="1"/>
        <v>2029</v>
      </c>
      <c r="B62">
        <v>0</v>
      </c>
    </row>
    <row r="63" spans="1:2">
      <c r="A63">
        <f t="shared" si="1"/>
        <v>2030</v>
      </c>
      <c r="B63">
        <v>0</v>
      </c>
    </row>
    <row r="64" spans="1:2">
      <c r="A64">
        <f t="shared" si="1"/>
        <v>2031</v>
      </c>
      <c r="B64">
        <v>0</v>
      </c>
    </row>
    <row r="65" spans="1:2">
      <c r="A65">
        <f t="shared" si="1"/>
        <v>2032</v>
      </c>
      <c r="B65">
        <v>0</v>
      </c>
    </row>
    <row r="66" spans="1:2">
      <c r="A66">
        <f t="shared" si="1"/>
        <v>2033</v>
      </c>
      <c r="B66">
        <v>0</v>
      </c>
    </row>
    <row r="67" spans="1:2">
      <c r="A67">
        <f t="shared" si="1"/>
        <v>2034</v>
      </c>
      <c r="B67">
        <v>0</v>
      </c>
    </row>
    <row r="68" spans="1:2">
      <c r="A68">
        <f t="shared" si="1"/>
        <v>2035</v>
      </c>
      <c r="B68">
        <v>0</v>
      </c>
    </row>
    <row r="69" spans="1:2">
      <c r="A69">
        <f t="shared" si="1"/>
        <v>2036</v>
      </c>
      <c r="B69">
        <v>0</v>
      </c>
    </row>
    <row r="70" spans="1:2">
      <c r="A70">
        <f t="shared" si="1"/>
        <v>2037</v>
      </c>
      <c r="B70">
        <v>0</v>
      </c>
    </row>
    <row r="71" spans="1:2">
      <c r="A71">
        <f t="shared" si="1"/>
        <v>2038</v>
      </c>
      <c r="B71">
        <v>0</v>
      </c>
    </row>
    <row r="72" spans="1:2">
      <c r="A72">
        <f t="shared" si="1"/>
        <v>2039</v>
      </c>
      <c r="B72">
        <v>0</v>
      </c>
    </row>
    <row r="73" spans="1:2">
      <c r="A73">
        <f t="shared" si="1"/>
        <v>2040</v>
      </c>
      <c r="B73">
        <v>0</v>
      </c>
    </row>
    <row r="74" spans="1:2">
      <c r="A74">
        <f t="shared" si="1"/>
        <v>2041</v>
      </c>
      <c r="B74">
        <v>0</v>
      </c>
    </row>
    <row r="75" spans="1:2">
      <c r="A75">
        <f t="shared" si="1"/>
        <v>2042</v>
      </c>
      <c r="B75">
        <v>0</v>
      </c>
    </row>
    <row r="76" spans="1:2">
      <c r="A76">
        <f t="shared" si="1"/>
        <v>2043</v>
      </c>
      <c r="B76">
        <v>0</v>
      </c>
    </row>
    <row r="77" spans="1:2">
      <c r="A77">
        <f t="shared" si="1"/>
        <v>2044</v>
      </c>
      <c r="B77">
        <v>0</v>
      </c>
    </row>
    <row r="78" spans="1:2">
      <c r="A78">
        <f t="shared" si="1"/>
        <v>2045</v>
      </c>
      <c r="B78">
        <v>0</v>
      </c>
    </row>
    <row r="79" spans="1:2">
      <c r="A79">
        <f t="shared" si="1"/>
        <v>2046</v>
      </c>
      <c r="B79">
        <v>0</v>
      </c>
    </row>
    <row r="80" spans="1:2">
      <c r="A80">
        <f t="shared" si="1"/>
        <v>2047</v>
      </c>
      <c r="B80">
        <v>0</v>
      </c>
    </row>
    <row r="81" spans="1:2">
      <c r="A81">
        <f t="shared" si="1"/>
        <v>2048</v>
      </c>
      <c r="B81">
        <v>0</v>
      </c>
    </row>
    <row r="82" spans="1:2">
      <c r="A82">
        <f t="shared" si="1"/>
        <v>2049</v>
      </c>
      <c r="B82">
        <v>0</v>
      </c>
    </row>
    <row r="83" spans="1:2">
      <c r="A83">
        <f t="shared" si="1"/>
        <v>2050</v>
      </c>
      <c r="B83">
        <v>0</v>
      </c>
    </row>
    <row r="84" spans="1:2">
      <c r="A84">
        <f t="shared" si="1"/>
        <v>2051</v>
      </c>
      <c r="B84">
        <v>0</v>
      </c>
    </row>
    <row r="85" spans="1:2">
      <c r="A85">
        <f t="shared" si="1"/>
        <v>2052</v>
      </c>
      <c r="B85">
        <v>0</v>
      </c>
    </row>
    <row r="86" spans="1:2">
      <c r="A86">
        <f t="shared" si="1"/>
        <v>2053</v>
      </c>
      <c r="B86">
        <v>0</v>
      </c>
    </row>
    <row r="87" spans="1:2">
      <c r="A87">
        <f t="shared" si="1"/>
        <v>2054</v>
      </c>
      <c r="B87">
        <v>0</v>
      </c>
    </row>
    <row r="88" spans="1:2">
      <c r="A88">
        <f t="shared" si="1"/>
        <v>2055</v>
      </c>
      <c r="B88">
        <v>0</v>
      </c>
    </row>
    <row r="89" spans="1:2">
      <c r="A89">
        <f t="shared" si="1"/>
        <v>2056</v>
      </c>
      <c r="B89">
        <v>0</v>
      </c>
    </row>
    <row r="90" spans="1:2">
      <c r="A90">
        <f t="shared" si="1"/>
        <v>2057</v>
      </c>
      <c r="B90">
        <v>0</v>
      </c>
    </row>
    <row r="91" spans="1:2">
      <c r="A91">
        <f t="shared" si="1"/>
        <v>2058</v>
      </c>
      <c r="B91">
        <v>0</v>
      </c>
    </row>
    <row r="92" spans="1:2">
      <c r="A92">
        <f t="shared" si="1"/>
        <v>2059</v>
      </c>
      <c r="B92">
        <v>0</v>
      </c>
    </row>
    <row r="93" spans="1:2">
      <c r="A93">
        <f t="shared" si="1"/>
        <v>2060</v>
      </c>
      <c r="B93">
        <v>0</v>
      </c>
    </row>
    <row r="94" spans="1:2">
      <c r="A94">
        <f t="shared" si="1"/>
        <v>2061</v>
      </c>
      <c r="B94">
        <v>0</v>
      </c>
    </row>
    <row r="95" spans="1:2">
      <c r="A95">
        <f t="shared" si="1"/>
        <v>2062</v>
      </c>
      <c r="B95">
        <v>0</v>
      </c>
    </row>
    <row r="96" spans="1:2">
      <c r="A96">
        <f t="shared" si="1"/>
        <v>2063</v>
      </c>
      <c r="B96">
        <v>0</v>
      </c>
    </row>
    <row r="97" spans="1:2">
      <c r="A97">
        <f t="shared" si="1"/>
        <v>2064</v>
      </c>
      <c r="B97">
        <v>0</v>
      </c>
    </row>
    <row r="98" spans="1:2">
      <c r="A98">
        <f t="shared" si="1"/>
        <v>2065</v>
      </c>
      <c r="B98">
        <v>0</v>
      </c>
    </row>
    <row r="99" spans="1:2">
      <c r="A99">
        <f t="shared" si="1"/>
        <v>2066</v>
      </c>
      <c r="B99">
        <v>0</v>
      </c>
    </row>
    <row r="100" spans="1:2">
      <c r="A100">
        <f t="shared" si="1"/>
        <v>2067</v>
      </c>
      <c r="B100">
        <v>0</v>
      </c>
    </row>
  </sheetData>
  <phoneticPr fontId="1" type="noConversion"/>
  <pageMargins left="0.75" right="0.75" top="1" bottom="1" header="0.5" footer="0.5"/>
  <pageSetup paperSize="170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:G949"/>
  <sheetViews>
    <sheetView topLeftCell="A46" zoomScaleNormal="100" workbookViewId="0">
      <selection activeCell="J18" sqref="A1:XFD1048576"/>
    </sheetView>
  </sheetViews>
  <sheetFormatPr defaultRowHeight="12.75"/>
  <cols>
    <col min="1" max="1" width="19.28515625" customWidth="1"/>
  </cols>
  <sheetData>
    <row r="1" spans="1:6">
      <c r="A1" t="str">
        <f>'Titles and Variables'!C16</f>
        <v>BRA_BB</v>
      </c>
      <c r="B1" t="s">
        <v>61</v>
      </c>
    </row>
    <row r="2" spans="1:6">
      <c r="A2" t="s">
        <v>70</v>
      </c>
      <c r="B2" t="s">
        <v>71</v>
      </c>
      <c r="C2" t="s">
        <v>72</v>
      </c>
    </row>
    <row r="3" spans="1:6">
      <c r="A3" t="s">
        <v>68</v>
      </c>
      <c r="B3">
        <v>0</v>
      </c>
      <c r="C3">
        <v>1</v>
      </c>
      <c r="D3">
        <v>2</v>
      </c>
      <c r="E3">
        <v>3</v>
      </c>
      <c r="F3">
        <v>4</v>
      </c>
    </row>
    <row r="4" spans="1:6">
      <c r="A4" t="s">
        <v>69</v>
      </c>
      <c r="B4" t="s">
        <v>73</v>
      </c>
      <c r="C4" t="s">
        <v>73</v>
      </c>
      <c r="D4" t="s">
        <v>73</v>
      </c>
      <c r="E4" t="s">
        <v>73</v>
      </c>
      <c r="F4" t="s">
        <v>73</v>
      </c>
    </row>
    <row r="5" spans="1:6">
      <c r="A5">
        <v>1981</v>
      </c>
      <c r="B5">
        <v>7.0000000000000001E-3</v>
      </c>
      <c r="C5">
        <v>0.61799999999999999</v>
      </c>
      <c r="D5">
        <v>1</v>
      </c>
      <c r="E5">
        <v>0.188</v>
      </c>
      <c r="F5">
        <v>0.01</v>
      </c>
    </row>
    <row r="6" spans="1:6">
      <c r="A6">
        <v>1982</v>
      </c>
      <c r="B6">
        <v>7.0000000000000001E-3</v>
      </c>
      <c r="C6">
        <v>0.61799999999999999</v>
      </c>
      <c r="D6">
        <v>1</v>
      </c>
      <c r="E6">
        <v>0.188</v>
      </c>
      <c r="F6">
        <v>0.01</v>
      </c>
    </row>
    <row r="7" spans="1:6">
      <c r="A7">
        <v>1983</v>
      </c>
      <c r="B7">
        <v>7.0000000000000001E-3</v>
      </c>
      <c r="C7">
        <v>0.61799999999999999</v>
      </c>
      <c r="D7">
        <v>1</v>
      </c>
      <c r="E7">
        <v>0.188</v>
      </c>
      <c r="F7">
        <v>0.01</v>
      </c>
    </row>
    <row r="8" spans="1:6">
      <c r="A8">
        <v>1984</v>
      </c>
      <c r="B8">
        <v>7.0000000000000001E-3</v>
      </c>
      <c r="C8">
        <v>0.61799999999999999</v>
      </c>
      <c r="D8">
        <v>1</v>
      </c>
      <c r="E8">
        <v>0.188</v>
      </c>
      <c r="F8">
        <v>0.01</v>
      </c>
    </row>
    <row r="9" spans="1:6">
      <c r="A9">
        <v>1985</v>
      </c>
      <c r="B9">
        <v>7.0000000000000001E-3</v>
      </c>
      <c r="C9">
        <v>0.61799999999999999</v>
      </c>
      <c r="D9">
        <v>1</v>
      </c>
      <c r="E9">
        <v>0.188</v>
      </c>
      <c r="F9">
        <v>0.01</v>
      </c>
    </row>
    <row r="10" spans="1:6">
      <c r="A10">
        <v>1986</v>
      </c>
      <c r="B10">
        <v>7.0000000000000001E-3</v>
      </c>
      <c r="C10">
        <v>0.61799999999999999</v>
      </c>
      <c r="D10">
        <v>1</v>
      </c>
      <c r="E10">
        <v>0.188</v>
      </c>
      <c r="F10">
        <v>0.01</v>
      </c>
    </row>
    <row r="11" spans="1:6">
      <c r="A11">
        <v>1987</v>
      </c>
      <c r="B11">
        <v>7.0000000000000001E-3</v>
      </c>
      <c r="C11">
        <v>0.61799999999999999</v>
      </c>
      <c r="D11">
        <v>1</v>
      </c>
      <c r="E11">
        <v>0.188</v>
      </c>
      <c r="F11">
        <v>0.01</v>
      </c>
    </row>
    <row r="12" spans="1:6">
      <c r="A12">
        <v>1988</v>
      </c>
      <c r="B12">
        <v>7.0000000000000001E-3</v>
      </c>
      <c r="C12">
        <v>0.61799999999999999</v>
      </c>
      <c r="D12">
        <v>1</v>
      </c>
      <c r="E12">
        <v>0.188</v>
      </c>
      <c r="F12">
        <v>0.01</v>
      </c>
    </row>
    <row r="13" spans="1:6">
      <c r="A13">
        <v>1989</v>
      </c>
      <c r="B13">
        <v>7.0000000000000001E-3</v>
      </c>
      <c r="C13">
        <v>0.61799999999999999</v>
      </c>
      <c r="D13">
        <v>1</v>
      </c>
      <c r="E13">
        <v>0.188</v>
      </c>
      <c r="F13">
        <v>0.01</v>
      </c>
    </row>
    <row r="14" spans="1:6">
      <c r="A14">
        <v>1990</v>
      </c>
      <c r="B14">
        <v>7.0000000000000001E-3</v>
      </c>
      <c r="C14">
        <v>0.61799999999999999</v>
      </c>
      <c r="D14">
        <v>1</v>
      </c>
      <c r="E14">
        <v>0.188</v>
      </c>
      <c r="F14">
        <v>0.01</v>
      </c>
    </row>
    <row r="15" spans="1:6">
      <c r="A15">
        <v>1991</v>
      </c>
      <c r="B15">
        <v>7.0000000000000001E-3</v>
      </c>
      <c r="C15">
        <v>0.61799999999999999</v>
      </c>
      <c r="D15">
        <v>1</v>
      </c>
      <c r="E15">
        <v>0.188</v>
      </c>
      <c r="F15">
        <v>0.01</v>
      </c>
    </row>
    <row r="16" spans="1:6">
      <c r="A16">
        <v>1992</v>
      </c>
      <c r="B16">
        <v>7.0000000000000001E-3</v>
      </c>
      <c r="C16">
        <v>0.61799999999999999</v>
      </c>
      <c r="D16">
        <v>1</v>
      </c>
      <c r="E16">
        <v>0.188</v>
      </c>
      <c r="F16">
        <v>0.01</v>
      </c>
    </row>
    <row r="17" spans="1:6">
      <c r="A17">
        <v>1993</v>
      </c>
      <c r="B17">
        <v>7.0000000000000001E-3</v>
      </c>
      <c r="C17">
        <v>0.61799999999999999</v>
      </c>
      <c r="D17">
        <v>1</v>
      </c>
      <c r="E17">
        <v>0.188</v>
      </c>
      <c r="F17">
        <v>0.01</v>
      </c>
    </row>
    <row r="18" spans="1:6">
      <c r="A18">
        <v>1994</v>
      </c>
      <c r="B18">
        <v>7.0000000000000001E-3</v>
      </c>
      <c r="C18">
        <v>0.61799999999999999</v>
      </c>
      <c r="D18">
        <v>1</v>
      </c>
      <c r="E18">
        <v>0.188</v>
      </c>
      <c r="F18">
        <v>0.01</v>
      </c>
    </row>
    <row r="19" spans="1:6">
      <c r="A19">
        <v>1995</v>
      </c>
      <c r="B19">
        <v>7.0000000000000001E-3</v>
      </c>
      <c r="C19">
        <v>0.61799999999999999</v>
      </c>
      <c r="D19">
        <v>1</v>
      </c>
      <c r="E19">
        <v>0.188</v>
      </c>
      <c r="F19">
        <v>0.01</v>
      </c>
    </row>
    <row r="20" spans="1:6">
      <c r="A20">
        <v>1996</v>
      </c>
      <c r="B20">
        <v>7.0000000000000001E-3</v>
      </c>
      <c r="C20">
        <v>0.61799999999999999</v>
      </c>
      <c r="D20">
        <v>1</v>
      </c>
      <c r="E20">
        <v>0.188</v>
      </c>
      <c r="F20">
        <v>0.01</v>
      </c>
    </row>
    <row r="21" spans="1:6">
      <c r="A21">
        <v>1997</v>
      </c>
      <c r="B21">
        <v>7.0000000000000001E-3</v>
      </c>
      <c r="C21">
        <v>0.61799999999999999</v>
      </c>
      <c r="D21">
        <v>1</v>
      </c>
      <c r="E21">
        <v>0.188</v>
      </c>
      <c r="F21">
        <v>0.01</v>
      </c>
    </row>
    <row r="22" spans="1:6">
      <c r="A22">
        <v>1998</v>
      </c>
      <c r="B22">
        <v>7.0000000000000001E-3</v>
      </c>
      <c r="C22">
        <v>0.61799999999999999</v>
      </c>
      <c r="D22">
        <v>1</v>
      </c>
      <c r="E22">
        <v>0.188</v>
      </c>
      <c r="F22">
        <v>0.01</v>
      </c>
    </row>
    <row r="23" spans="1:6">
      <c r="A23">
        <v>1999</v>
      </c>
      <c r="B23">
        <v>7.0000000000000001E-3</v>
      </c>
      <c r="C23">
        <v>0.61799999999999999</v>
      </c>
      <c r="D23">
        <v>1</v>
      </c>
      <c r="E23">
        <v>0.188</v>
      </c>
      <c r="F23">
        <v>0.01</v>
      </c>
    </row>
    <row r="24" spans="1:6">
      <c r="A24">
        <v>2001</v>
      </c>
      <c r="B24">
        <v>7.0000000000000001E-3</v>
      </c>
      <c r="C24">
        <v>0.61799999999999999</v>
      </c>
      <c r="D24">
        <v>1</v>
      </c>
      <c r="E24">
        <v>0.188</v>
      </c>
      <c r="F24">
        <v>0.01</v>
      </c>
    </row>
    <row r="25" spans="1:6">
      <c r="A25">
        <v>2002</v>
      </c>
      <c r="B25">
        <v>7.0000000000000001E-3</v>
      </c>
      <c r="C25">
        <v>0.61799999999999999</v>
      </c>
      <c r="D25">
        <v>1</v>
      </c>
      <c r="E25">
        <v>0.188</v>
      </c>
      <c r="F25">
        <v>0.01</v>
      </c>
    </row>
    <row r="26" spans="1:6">
      <c r="A26">
        <v>2003</v>
      </c>
      <c r="B26">
        <v>7.0000000000000001E-3</v>
      </c>
      <c r="C26">
        <v>0.61799999999999999</v>
      </c>
      <c r="D26">
        <v>1</v>
      </c>
      <c r="E26">
        <v>0.188</v>
      </c>
      <c r="F26">
        <v>0.01</v>
      </c>
    </row>
    <row r="27" spans="1:6">
      <c r="A27">
        <v>2004</v>
      </c>
      <c r="B27">
        <v>7.0000000000000001E-3</v>
      </c>
      <c r="C27">
        <v>0.61799999999999999</v>
      </c>
      <c r="D27">
        <v>1</v>
      </c>
      <c r="E27">
        <v>0.188</v>
      </c>
      <c r="F27">
        <v>0.01</v>
      </c>
    </row>
    <row r="28" spans="1:6">
      <c r="A28">
        <v>2005</v>
      </c>
      <c r="B28">
        <v>7.0000000000000001E-3</v>
      </c>
      <c r="C28">
        <v>0.61799999999999999</v>
      </c>
      <c r="D28">
        <v>1</v>
      </c>
      <c r="E28">
        <v>0.188</v>
      </c>
      <c r="F28">
        <v>0.01</v>
      </c>
    </row>
    <row r="29" spans="1:6">
      <c r="A29">
        <v>2006</v>
      </c>
      <c r="B29">
        <v>7.0000000000000001E-3</v>
      </c>
      <c r="C29">
        <v>0.61799999999999999</v>
      </c>
      <c r="D29">
        <v>1</v>
      </c>
      <c r="E29">
        <v>0.188</v>
      </c>
      <c r="F29">
        <v>0.01</v>
      </c>
    </row>
    <row r="49" spans="1:7">
      <c r="A49" t="str">
        <f>'Titles and Variables'!C17</f>
        <v>BRA_LL</v>
      </c>
      <c r="B49" t="s">
        <v>61</v>
      </c>
    </row>
    <row r="50" spans="1:7">
      <c r="A50" t="s">
        <v>70</v>
      </c>
      <c r="B50" t="s">
        <v>71</v>
      </c>
      <c r="C50" t="s">
        <v>72</v>
      </c>
    </row>
    <row r="51" spans="1:7">
      <c r="A51" t="s">
        <v>68</v>
      </c>
      <c r="B51">
        <v>0</v>
      </c>
      <c r="C51">
        <v>1</v>
      </c>
      <c r="D51">
        <v>2</v>
      </c>
      <c r="E51">
        <v>3</v>
      </c>
      <c r="F51">
        <v>4</v>
      </c>
      <c r="G51">
        <v>5</v>
      </c>
    </row>
    <row r="52" spans="1:7">
      <c r="A52" t="s">
        <v>69</v>
      </c>
      <c r="B52" t="s">
        <v>73</v>
      </c>
      <c r="C52" t="s">
        <v>73</v>
      </c>
      <c r="D52" t="s">
        <v>73</v>
      </c>
      <c r="E52" t="s">
        <v>73</v>
      </c>
      <c r="F52" t="s">
        <v>73</v>
      </c>
      <c r="G52" t="s">
        <v>73</v>
      </c>
    </row>
    <row r="53" spans="1:7">
      <c r="A53">
        <v>1986</v>
      </c>
      <c r="B53">
        <v>1.4E-2</v>
      </c>
      <c r="C53">
        <v>0.17699999999999999</v>
      </c>
      <c r="D53">
        <v>0.43</v>
      </c>
      <c r="E53">
        <v>1</v>
      </c>
      <c r="F53">
        <v>0.61</v>
      </c>
      <c r="G53">
        <v>0.19400000000000001</v>
      </c>
    </row>
    <row r="54" spans="1:7">
      <c r="A54">
        <v>1987</v>
      </c>
      <c r="B54">
        <v>1.4E-2</v>
      </c>
      <c r="C54">
        <v>0.17699999999999999</v>
      </c>
      <c r="D54">
        <v>0.43</v>
      </c>
      <c r="E54">
        <v>1</v>
      </c>
      <c r="F54">
        <v>0.61</v>
      </c>
      <c r="G54">
        <v>0.19400000000000001</v>
      </c>
    </row>
    <row r="55" spans="1:7">
      <c r="A55">
        <v>1988</v>
      </c>
      <c r="B55">
        <v>1.4E-2</v>
      </c>
      <c r="C55">
        <v>0.17699999999999999</v>
      </c>
      <c r="D55">
        <v>0.43</v>
      </c>
      <c r="E55">
        <v>1</v>
      </c>
      <c r="F55">
        <v>0.61</v>
      </c>
      <c r="G55">
        <v>0.19400000000000001</v>
      </c>
    </row>
    <row r="56" spans="1:7">
      <c r="A56">
        <v>1989</v>
      </c>
      <c r="B56">
        <v>1.4E-2</v>
      </c>
      <c r="C56">
        <v>0.17699999999999999</v>
      </c>
      <c r="D56">
        <v>0.43</v>
      </c>
      <c r="E56">
        <v>1</v>
      </c>
      <c r="F56">
        <v>0.61</v>
      </c>
      <c r="G56">
        <v>0.19400000000000001</v>
      </c>
    </row>
    <row r="57" spans="1:7">
      <c r="A57">
        <v>1990</v>
      </c>
      <c r="B57">
        <v>1.4E-2</v>
      </c>
      <c r="C57">
        <v>0.17699999999999999</v>
      </c>
      <c r="D57">
        <v>0.43</v>
      </c>
      <c r="E57">
        <v>1</v>
      </c>
      <c r="F57">
        <v>0.61</v>
      </c>
      <c r="G57">
        <v>0.19400000000000001</v>
      </c>
    </row>
    <row r="58" spans="1:7">
      <c r="A58">
        <v>1991</v>
      </c>
      <c r="B58">
        <v>1.4E-2</v>
      </c>
      <c r="C58">
        <v>0.17699999999999999</v>
      </c>
      <c r="D58">
        <v>0.43</v>
      </c>
      <c r="E58">
        <v>1</v>
      </c>
      <c r="F58">
        <v>0.61</v>
      </c>
      <c r="G58">
        <v>0.19400000000000001</v>
      </c>
    </row>
    <row r="59" spans="1:7">
      <c r="A59">
        <v>1992</v>
      </c>
      <c r="B59">
        <v>1.4E-2</v>
      </c>
      <c r="C59">
        <v>0.17699999999999999</v>
      </c>
      <c r="D59">
        <v>0.43</v>
      </c>
      <c r="E59">
        <v>1</v>
      </c>
      <c r="F59">
        <v>0.61</v>
      </c>
      <c r="G59">
        <v>0.19400000000000001</v>
      </c>
    </row>
    <row r="60" spans="1:7">
      <c r="A60">
        <v>1993</v>
      </c>
      <c r="B60">
        <v>1.4E-2</v>
      </c>
      <c r="C60">
        <v>0.17699999999999999</v>
      </c>
      <c r="D60">
        <v>0.43</v>
      </c>
      <c r="E60">
        <v>1</v>
      </c>
      <c r="F60">
        <v>0.61</v>
      </c>
      <c r="G60">
        <v>0.19400000000000001</v>
      </c>
    </row>
    <row r="61" spans="1:7">
      <c r="A61">
        <v>1994</v>
      </c>
      <c r="B61">
        <v>1.4E-2</v>
      </c>
      <c r="C61">
        <v>0.17699999999999999</v>
      </c>
      <c r="D61">
        <v>0.43</v>
      </c>
      <c r="E61">
        <v>1</v>
      </c>
      <c r="F61">
        <v>0.61</v>
      </c>
      <c r="G61">
        <v>0.19400000000000001</v>
      </c>
    </row>
    <row r="62" spans="1:7">
      <c r="A62">
        <v>1995</v>
      </c>
      <c r="B62">
        <v>1.4E-2</v>
      </c>
      <c r="C62">
        <v>0.17699999999999999</v>
      </c>
      <c r="D62">
        <v>0.43</v>
      </c>
      <c r="E62">
        <v>1</v>
      </c>
      <c r="F62">
        <v>0.61</v>
      </c>
      <c r="G62">
        <v>0.19400000000000001</v>
      </c>
    </row>
    <row r="63" spans="1:7">
      <c r="A63">
        <v>1996</v>
      </c>
      <c r="B63">
        <v>1.4E-2</v>
      </c>
      <c r="C63">
        <v>0.17699999999999999</v>
      </c>
      <c r="D63">
        <v>0.43</v>
      </c>
      <c r="E63">
        <v>1</v>
      </c>
      <c r="F63">
        <v>0.61</v>
      </c>
      <c r="G63">
        <v>0.19400000000000001</v>
      </c>
    </row>
    <row r="64" spans="1:7">
      <c r="A64">
        <v>1997</v>
      </c>
      <c r="B64">
        <v>1.4E-2</v>
      </c>
      <c r="C64">
        <v>0.17699999999999999</v>
      </c>
      <c r="D64">
        <v>0.43</v>
      </c>
      <c r="E64">
        <v>1</v>
      </c>
      <c r="F64">
        <v>0.61</v>
      </c>
      <c r="G64">
        <v>0.19400000000000001</v>
      </c>
    </row>
    <row r="65" spans="1:7">
      <c r="A65">
        <v>1998</v>
      </c>
      <c r="B65">
        <v>1.4E-2</v>
      </c>
      <c r="C65">
        <v>0.17699999999999999</v>
      </c>
      <c r="D65">
        <v>0.43</v>
      </c>
      <c r="E65">
        <v>1</v>
      </c>
      <c r="F65">
        <v>0.61</v>
      </c>
      <c r="G65">
        <v>0.19400000000000001</v>
      </c>
    </row>
    <row r="66" spans="1:7">
      <c r="A66">
        <v>1999</v>
      </c>
      <c r="B66">
        <v>1.4E-2</v>
      </c>
      <c r="C66">
        <v>0.17699999999999999</v>
      </c>
      <c r="D66">
        <v>0.43</v>
      </c>
      <c r="E66">
        <v>1</v>
      </c>
      <c r="F66">
        <v>0.61</v>
      </c>
      <c r="G66">
        <v>0.19400000000000001</v>
      </c>
    </row>
    <row r="67" spans="1:7">
      <c r="A67">
        <v>2000</v>
      </c>
      <c r="B67">
        <v>1.4E-2</v>
      </c>
      <c r="C67">
        <v>0.17699999999999999</v>
      </c>
      <c r="D67">
        <v>0.43</v>
      </c>
      <c r="E67">
        <v>1</v>
      </c>
      <c r="F67">
        <v>0.61</v>
      </c>
      <c r="G67">
        <v>0.19400000000000001</v>
      </c>
    </row>
    <row r="68" spans="1:7">
      <c r="A68">
        <v>2001</v>
      </c>
      <c r="B68">
        <v>1.4E-2</v>
      </c>
      <c r="C68">
        <v>0.17699999999999999</v>
      </c>
      <c r="D68">
        <v>0.43</v>
      </c>
      <c r="E68">
        <v>1</v>
      </c>
      <c r="F68">
        <v>0.61</v>
      </c>
      <c r="G68">
        <v>0.19400000000000001</v>
      </c>
    </row>
    <row r="69" spans="1:7">
      <c r="A69">
        <v>2002</v>
      </c>
      <c r="B69">
        <v>1.4E-2</v>
      </c>
      <c r="C69">
        <v>0.17699999999999999</v>
      </c>
      <c r="D69">
        <v>0.43</v>
      </c>
      <c r="E69">
        <v>1</v>
      </c>
      <c r="F69">
        <v>0.61</v>
      </c>
      <c r="G69">
        <v>0.19400000000000001</v>
      </c>
    </row>
    <row r="70" spans="1:7">
      <c r="A70">
        <v>2003</v>
      </c>
      <c r="B70">
        <v>1.4E-2</v>
      </c>
      <c r="C70">
        <v>0.17699999999999999</v>
      </c>
      <c r="D70">
        <v>0.43</v>
      </c>
      <c r="E70">
        <v>1</v>
      </c>
      <c r="F70">
        <v>0.61</v>
      </c>
      <c r="G70">
        <v>0.19400000000000001</v>
      </c>
    </row>
    <row r="71" spans="1:7">
      <c r="A71">
        <v>2004</v>
      </c>
      <c r="B71">
        <v>1.4E-2</v>
      </c>
      <c r="C71">
        <v>0.17699999999999999</v>
      </c>
      <c r="D71">
        <v>0.43</v>
      </c>
      <c r="E71">
        <v>1</v>
      </c>
      <c r="F71">
        <v>0.61</v>
      </c>
      <c r="G71">
        <v>0.19400000000000001</v>
      </c>
    </row>
    <row r="72" spans="1:7">
      <c r="A72">
        <v>2005</v>
      </c>
      <c r="B72">
        <v>1.4E-2</v>
      </c>
      <c r="C72">
        <v>0.17699999999999999</v>
      </c>
      <c r="D72">
        <v>0.43</v>
      </c>
      <c r="E72">
        <v>1</v>
      </c>
      <c r="F72">
        <v>0.61</v>
      </c>
      <c r="G72">
        <v>0.19400000000000001</v>
      </c>
    </row>
    <row r="73" spans="1:7">
      <c r="A73">
        <v>2006</v>
      </c>
      <c r="B73">
        <v>1.4E-2</v>
      </c>
      <c r="C73">
        <v>0.17699999999999999</v>
      </c>
      <c r="D73">
        <v>0.43</v>
      </c>
      <c r="E73">
        <v>1</v>
      </c>
      <c r="F73">
        <v>0.61</v>
      </c>
      <c r="G73">
        <v>0.19400000000000001</v>
      </c>
    </row>
    <row r="99" spans="1:7">
      <c r="A99" t="str">
        <f>'Titles and Variables'!C18</f>
        <v>JPN_LL</v>
      </c>
      <c r="B99" t="s">
        <v>61</v>
      </c>
    </row>
    <row r="100" spans="1:7">
      <c r="A100" t="s">
        <v>70</v>
      </c>
      <c r="B100" t="s">
        <v>71</v>
      </c>
      <c r="C100" t="s">
        <v>72</v>
      </c>
    </row>
    <row r="101" spans="1:7">
      <c r="A101" t="s">
        <v>68</v>
      </c>
      <c r="B101">
        <v>0</v>
      </c>
      <c r="C101">
        <v>1</v>
      </c>
      <c r="D101">
        <v>2</v>
      </c>
      <c r="E101">
        <v>3</v>
      </c>
      <c r="F101">
        <v>4</v>
      </c>
      <c r="G101">
        <v>5</v>
      </c>
    </row>
    <row r="102" spans="1:7">
      <c r="A102" t="s">
        <v>69</v>
      </c>
      <c r="B102" t="s">
        <v>73</v>
      </c>
      <c r="C102" t="s">
        <v>73</v>
      </c>
      <c r="D102" t="s">
        <v>73</v>
      </c>
      <c r="E102" t="s">
        <v>73</v>
      </c>
      <c r="F102" t="s">
        <v>73</v>
      </c>
      <c r="G102" t="s">
        <v>73</v>
      </c>
    </row>
    <row r="103" spans="1:7">
      <c r="A103">
        <v>1970</v>
      </c>
      <c r="B103">
        <v>0</v>
      </c>
      <c r="C103">
        <v>3.0000000000000001E-3</v>
      </c>
      <c r="D103">
        <v>0.22800000000000001</v>
      </c>
      <c r="E103">
        <v>1</v>
      </c>
      <c r="F103">
        <v>0.96499999999999997</v>
      </c>
      <c r="G103">
        <v>0.20799999999999999</v>
      </c>
    </row>
    <row r="104" spans="1:7">
      <c r="A104">
        <v>1971</v>
      </c>
      <c r="B104">
        <v>0</v>
      </c>
      <c r="C104">
        <v>3.0000000000000001E-3</v>
      </c>
      <c r="D104">
        <v>0.22800000000000001</v>
      </c>
      <c r="E104">
        <v>1</v>
      </c>
      <c r="F104">
        <v>0.96499999999999997</v>
      </c>
      <c r="G104">
        <v>0.20799999999999999</v>
      </c>
    </row>
    <row r="105" spans="1:7">
      <c r="A105">
        <v>1972</v>
      </c>
      <c r="B105">
        <v>0</v>
      </c>
      <c r="C105">
        <v>3.0000000000000001E-3</v>
      </c>
      <c r="D105">
        <v>0.22800000000000001</v>
      </c>
      <c r="E105">
        <v>1</v>
      </c>
      <c r="F105">
        <v>0.96499999999999997</v>
      </c>
      <c r="G105">
        <v>0.20799999999999999</v>
      </c>
    </row>
    <row r="106" spans="1:7">
      <c r="A106">
        <v>1973</v>
      </c>
      <c r="B106">
        <v>0</v>
      </c>
      <c r="C106">
        <v>3.0000000000000001E-3</v>
      </c>
      <c r="D106">
        <v>0.22800000000000001</v>
      </c>
      <c r="E106">
        <v>1</v>
      </c>
      <c r="F106">
        <v>0.96499999999999997</v>
      </c>
      <c r="G106">
        <v>0.20799999999999999</v>
      </c>
    </row>
    <row r="107" spans="1:7">
      <c r="A107">
        <v>1974</v>
      </c>
      <c r="B107">
        <v>0</v>
      </c>
      <c r="C107">
        <v>3.0000000000000001E-3</v>
      </c>
      <c r="D107">
        <v>0.22800000000000001</v>
      </c>
      <c r="E107">
        <v>1</v>
      </c>
      <c r="F107">
        <v>0.96499999999999997</v>
      </c>
      <c r="G107">
        <v>0.20799999999999999</v>
      </c>
    </row>
    <row r="108" spans="1:7">
      <c r="A108">
        <v>1975</v>
      </c>
      <c r="B108">
        <v>0</v>
      </c>
      <c r="C108">
        <v>3.0000000000000001E-3</v>
      </c>
      <c r="D108">
        <v>0.22800000000000001</v>
      </c>
      <c r="E108">
        <v>1</v>
      </c>
      <c r="F108">
        <v>0.96499999999999997</v>
      </c>
      <c r="G108">
        <v>0.20799999999999999</v>
      </c>
    </row>
    <row r="109" spans="1:7">
      <c r="A109">
        <v>1976</v>
      </c>
      <c r="B109">
        <v>0</v>
      </c>
      <c r="C109">
        <v>3.0000000000000001E-3</v>
      </c>
      <c r="D109">
        <v>0.22800000000000001</v>
      </c>
      <c r="E109">
        <v>1</v>
      </c>
      <c r="F109">
        <v>0.96499999999999997</v>
      </c>
      <c r="G109">
        <v>0.20799999999999999</v>
      </c>
    </row>
    <row r="110" spans="1:7">
      <c r="A110">
        <v>1977</v>
      </c>
      <c r="B110">
        <v>0</v>
      </c>
      <c r="C110">
        <v>3.0000000000000001E-3</v>
      </c>
      <c r="D110">
        <v>0.22800000000000001</v>
      </c>
      <c r="E110">
        <v>1</v>
      </c>
      <c r="F110">
        <v>0.96499999999999997</v>
      </c>
      <c r="G110">
        <v>0.20799999999999999</v>
      </c>
    </row>
    <row r="111" spans="1:7">
      <c r="A111">
        <v>1978</v>
      </c>
      <c r="B111">
        <v>0</v>
      </c>
      <c r="C111">
        <v>3.0000000000000001E-3</v>
      </c>
      <c r="D111">
        <v>0.22800000000000001</v>
      </c>
      <c r="E111">
        <v>1</v>
      </c>
      <c r="F111">
        <v>0.96499999999999997</v>
      </c>
      <c r="G111">
        <v>0.20799999999999999</v>
      </c>
    </row>
    <row r="112" spans="1:7">
      <c r="A112">
        <v>1979</v>
      </c>
      <c r="B112">
        <v>0</v>
      </c>
      <c r="C112">
        <v>3.0000000000000001E-3</v>
      </c>
      <c r="D112">
        <v>0.22800000000000001</v>
      </c>
      <c r="E112">
        <v>1</v>
      </c>
      <c r="F112">
        <v>0.96499999999999997</v>
      </c>
      <c r="G112">
        <v>0.20799999999999999</v>
      </c>
    </row>
    <row r="113" spans="1:7">
      <c r="A113">
        <v>1980</v>
      </c>
      <c r="B113">
        <v>0</v>
      </c>
      <c r="C113">
        <v>3.0000000000000001E-3</v>
      </c>
      <c r="D113">
        <v>0.22800000000000001</v>
      </c>
      <c r="E113">
        <v>1</v>
      </c>
      <c r="F113">
        <v>0.96499999999999997</v>
      </c>
      <c r="G113">
        <v>0.20799999999999999</v>
      </c>
    </row>
    <row r="114" spans="1:7">
      <c r="A114">
        <v>1981</v>
      </c>
      <c r="B114">
        <v>0</v>
      </c>
      <c r="C114">
        <v>3.0000000000000001E-3</v>
      </c>
      <c r="D114">
        <v>0.22800000000000001</v>
      </c>
      <c r="E114">
        <v>1</v>
      </c>
      <c r="F114">
        <v>0.96499999999999997</v>
      </c>
      <c r="G114">
        <v>0.20799999999999999</v>
      </c>
    </row>
    <row r="115" spans="1:7">
      <c r="A115">
        <v>1982</v>
      </c>
      <c r="B115">
        <v>0</v>
      </c>
      <c r="C115">
        <v>3.0000000000000001E-3</v>
      </c>
      <c r="D115">
        <v>0.22800000000000001</v>
      </c>
      <c r="E115">
        <v>1</v>
      </c>
      <c r="F115">
        <v>0.96499999999999997</v>
      </c>
      <c r="G115">
        <v>0.20799999999999999</v>
      </c>
    </row>
    <row r="116" spans="1:7">
      <c r="A116">
        <v>1983</v>
      </c>
      <c r="B116">
        <v>0</v>
      </c>
      <c r="C116">
        <v>3.0000000000000001E-3</v>
      </c>
      <c r="D116">
        <v>0.22800000000000001</v>
      </c>
      <c r="E116">
        <v>1</v>
      </c>
      <c r="F116">
        <v>0.96499999999999997</v>
      </c>
      <c r="G116">
        <v>0.20799999999999999</v>
      </c>
    </row>
    <row r="117" spans="1:7">
      <c r="A117">
        <v>1984</v>
      </c>
      <c r="B117">
        <v>0</v>
      </c>
      <c r="C117">
        <v>3.0000000000000001E-3</v>
      </c>
      <c r="D117">
        <v>0.22800000000000001</v>
      </c>
      <c r="E117">
        <v>1</v>
      </c>
      <c r="F117">
        <v>0.96499999999999997</v>
      </c>
      <c r="G117">
        <v>0.20799999999999999</v>
      </c>
    </row>
    <row r="118" spans="1:7">
      <c r="A118">
        <v>1985</v>
      </c>
      <c r="B118">
        <v>0</v>
      </c>
      <c r="C118">
        <v>3.0000000000000001E-3</v>
      </c>
      <c r="D118">
        <v>0.22800000000000001</v>
      </c>
      <c r="E118">
        <v>1</v>
      </c>
      <c r="F118">
        <v>0.96499999999999997</v>
      </c>
      <c r="G118">
        <v>0.20799999999999999</v>
      </c>
    </row>
    <row r="119" spans="1:7">
      <c r="A119">
        <v>1986</v>
      </c>
      <c r="B119">
        <v>0</v>
      </c>
      <c r="C119">
        <v>3.0000000000000001E-3</v>
      </c>
      <c r="D119">
        <v>0.22800000000000001</v>
      </c>
      <c r="E119">
        <v>1</v>
      </c>
      <c r="F119">
        <v>0.96499999999999997</v>
      </c>
      <c r="G119">
        <v>0.20799999999999999</v>
      </c>
    </row>
    <row r="120" spans="1:7">
      <c r="A120">
        <v>1987</v>
      </c>
      <c r="B120">
        <v>0</v>
      </c>
      <c r="C120">
        <v>3.0000000000000001E-3</v>
      </c>
      <c r="D120">
        <v>0.22800000000000001</v>
      </c>
      <c r="E120">
        <v>1</v>
      </c>
      <c r="F120">
        <v>0.96499999999999997</v>
      </c>
      <c r="G120">
        <v>0.20799999999999999</v>
      </c>
    </row>
    <row r="121" spans="1:7">
      <c r="A121">
        <v>1988</v>
      </c>
      <c r="B121">
        <v>0</v>
      </c>
      <c r="C121">
        <v>3.0000000000000001E-3</v>
      </c>
      <c r="D121">
        <v>0.22800000000000001</v>
      </c>
      <c r="E121">
        <v>1</v>
      </c>
      <c r="F121">
        <v>0.96499999999999997</v>
      </c>
      <c r="G121">
        <v>0.20799999999999999</v>
      </c>
    </row>
    <row r="122" spans="1:7">
      <c r="A122">
        <v>1989</v>
      </c>
      <c r="B122">
        <v>0</v>
      </c>
      <c r="C122">
        <v>3.0000000000000001E-3</v>
      </c>
      <c r="D122">
        <v>0.22800000000000001</v>
      </c>
      <c r="E122">
        <v>1</v>
      </c>
      <c r="F122">
        <v>0.96499999999999997</v>
      </c>
      <c r="G122">
        <v>0.20799999999999999</v>
      </c>
    </row>
    <row r="123" spans="1:7">
      <c r="A123">
        <v>1990</v>
      </c>
      <c r="B123">
        <v>0</v>
      </c>
      <c r="C123">
        <v>3.0000000000000001E-3</v>
      </c>
      <c r="D123">
        <v>0.22800000000000001</v>
      </c>
      <c r="E123">
        <v>1</v>
      </c>
      <c r="F123">
        <v>0.96499999999999997</v>
      </c>
      <c r="G123">
        <v>0.20799999999999999</v>
      </c>
    </row>
    <row r="124" spans="1:7">
      <c r="A124">
        <v>1991</v>
      </c>
      <c r="B124">
        <v>0</v>
      </c>
      <c r="C124">
        <v>3.0000000000000001E-3</v>
      </c>
      <c r="D124">
        <v>0.22800000000000001</v>
      </c>
      <c r="E124">
        <v>1</v>
      </c>
      <c r="F124">
        <v>0.96499999999999997</v>
      </c>
      <c r="G124">
        <v>0.20799999999999999</v>
      </c>
    </row>
    <row r="125" spans="1:7">
      <c r="A125">
        <v>1992</v>
      </c>
      <c r="B125">
        <v>0</v>
      </c>
      <c r="C125">
        <v>3.0000000000000001E-3</v>
      </c>
      <c r="D125">
        <v>0.22800000000000001</v>
      </c>
      <c r="E125">
        <v>1</v>
      </c>
      <c r="F125">
        <v>0.96499999999999997</v>
      </c>
      <c r="G125">
        <v>0.20799999999999999</v>
      </c>
    </row>
    <row r="126" spans="1:7">
      <c r="A126">
        <v>1993</v>
      </c>
      <c r="B126">
        <v>0</v>
      </c>
      <c r="C126">
        <v>3.0000000000000001E-3</v>
      </c>
      <c r="D126">
        <v>0.22800000000000001</v>
      </c>
      <c r="E126">
        <v>1</v>
      </c>
      <c r="F126">
        <v>0.96499999999999997</v>
      </c>
      <c r="G126">
        <v>0.20799999999999999</v>
      </c>
    </row>
    <row r="127" spans="1:7">
      <c r="A127">
        <v>1994</v>
      </c>
      <c r="B127">
        <v>0</v>
      </c>
      <c r="C127">
        <v>3.0000000000000001E-3</v>
      </c>
      <c r="D127">
        <v>0.22800000000000001</v>
      </c>
      <c r="E127">
        <v>1</v>
      </c>
      <c r="F127">
        <v>0.96499999999999997</v>
      </c>
      <c r="G127">
        <v>0.20799999999999999</v>
      </c>
    </row>
    <row r="128" spans="1:7">
      <c r="A128">
        <v>1995</v>
      </c>
      <c r="B128">
        <v>0</v>
      </c>
      <c r="C128">
        <v>3.0000000000000001E-3</v>
      </c>
      <c r="D128">
        <v>0.22800000000000001</v>
      </c>
      <c r="E128">
        <v>1</v>
      </c>
      <c r="F128">
        <v>0.96499999999999997</v>
      </c>
      <c r="G128">
        <v>0.20799999999999999</v>
      </c>
    </row>
    <row r="129" spans="1:7">
      <c r="A129">
        <v>1996</v>
      </c>
      <c r="B129">
        <v>0</v>
      </c>
      <c r="C129">
        <v>3.0000000000000001E-3</v>
      </c>
      <c r="D129">
        <v>0.22800000000000001</v>
      </c>
      <c r="E129">
        <v>1</v>
      </c>
      <c r="F129">
        <v>0.96499999999999997</v>
      </c>
      <c r="G129">
        <v>0.20799999999999999</v>
      </c>
    </row>
    <row r="130" spans="1:7">
      <c r="A130">
        <v>1997</v>
      </c>
      <c r="B130">
        <v>0</v>
      </c>
      <c r="C130">
        <v>3.0000000000000001E-3</v>
      </c>
      <c r="D130">
        <v>0.22800000000000001</v>
      </c>
      <c r="E130">
        <v>1</v>
      </c>
      <c r="F130">
        <v>0.96499999999999997</v>
      </c>
      <c r="G130">
        <v>0.20799999999999999</v>
      </c>
    </row>
    <row r="131" spans="1:7">
      <c r="A131">
        <v>1998</v>
      </c>
      <c r="B131">
        <v>0</v>
      </c>
      <c r="C131">
        <v>3.0000000000000001E-3</v>
      </c>
      <c r="D131">
        <v>0.22800000000000001</v>
      </c>
      <c r="E131">
        <v>1</v>
      </c>
      <c r="F131">
        <v>0.96499999999999997</v>
      </c>
      <c r="G131">
        <v>0.20799999999999999</v>
      </c>
    </row>
    <row r="132" spans="1:7">
      <c r="A132">
        <v>1999</v>
      </c>
      <c r="B132">
        <v>0</v>
      </c>
      <c r="C132">
        <v>3.0000000000000001E-3</v>
      </c>
      <c r="D132">
        <v>0.22800000000000001</v>
      </c>
      <c r="E132">
        <v>1</v>
      </c>
      <c r="F132">
        <v>0.96499999999999997</v>
      </c>
      <c r="G132">
        <v>0.20799999999999999</v>
      </c>
    </row>
    <row r="133" spans="1:7">
      <c r="A133">
        <v>2000</v>
      </c>
      <c r="B133">
        <v>0</v>
      </c>
      <c r="C133">
        <v>3.0000000000000001E-3</v>
      </c>
      <c r="D133">
        <v>0.22800000000000001</v>
      </c>
      <c r="E133">
        <v>1</v>
      </c>
      <c r="F133">
        <v>0.96499999999999997</v>
      </c>
      <c r="G133">
        <v>0.20799999999999999</v>
      </c>
    </row>
    <row r="134" spans="1:7">
      <c r="A134">
        <v>2001</v>
      </c>
      <c r="B134">
        <v>0</v>
      </c>
      <c r="C134">
        <v>3.0000000000000001E-3</v>
      </c>
      <c r="D134">
        <v>0.22800000000000001</v>
      </c>
      <c r="E134">
        <v>1</v>
      </c>
      <c r="F134">
        <v>0.96499999999999997</v>
      </c>
      <c r="G134">
        <v>0.20799999999999999</v>
      </c>
    </row>
    <row r="135" spans="1:7">
      <c r="A135">
        <v>2002</v>
      </c>
      <c r="B135">
        <v>0</v>
      </c>
      <c r="C135">
        <v>3.0000000000000001E-3</v>
      </c>
      <c r="D135">
        <v>0.22800000000000001</v>
      </c>
      <c r="E135">
        <v>1</v>
      </c>
      <c r="F135">
        <v>0.96499999999999997</v>
      </c>
      <c r="G135">
        <v>0.20799999999999999</v>
      </c>
    </row>
    <row r="136" spans="1:7">
      <c r="A136">
        <v>2003</v>
      </c>
      <c r="B136">
        <v>0</v>
      </c>
      <c r="C136">
        <v>3.0000000000000001E-3</v>
      </c>
      <c r="D136">
        <v>0.22800000000000001</v>
      </c>
      <c r="E136">
        <v>1</v>
      </c>
      <c r="F136">
        <v>0.96499999999999997</v>
      </c>
      <c r="G136">
        <v>0.20799999999999999</v>
      </c>
    </row>
    <row r="137" spans="1:7">
      <c r="A137">
        <v>2004</v>
      </c>
      <c r="B137">
        <v>0</v>
      </c>
      <c r="C137">
        <v>3.0000000000000001E-3</v>
      </c>
      <c r="D137">
        <v>0.22800000000000001</v>
      </c>
      <c r="E137">
        <v>1</v>
      </c>
      <c r="F137">
        <v>0.96499999999999997</v>
      </c>
      <c r="G137">
        <v>0.20799999999999999</v>
      </c>
    </row>
    <row r="138" spans="1:7">
      <c r="A138">
        <v>2005</v>
      </c>
      <c r="B138">
        <v>0</v>
      </c>
      <c r="C138">
        <v>3.0000000000000001E-3</v>
      </c>
      <c r="D138">
        <v>0.22800000000000001</v>
      </c>
      <c r="E138">
        <v>1</v>
      </c>
      <c r="F138">
        <v>0.96499999999999997</v>
      </c>
      <c r="G138">
        <v>0.20799999999999999</v>
      </c>
    </row>
    <row r="139" spans="1:7">
      <c r="A139">
        <v>2006</v>
      </c>
      <c r="B139">
        <v>0</v>
      </c>
      <c r="C139">
        <v>3.0000000000000001E-3</v>
      </c>
      <c r="D139">
        <v>0.22800000000000001</v>
      </c>
      <c r="E139">
        <v>1</v>
      </c>
      <c r="F139">
        <v>0.96499999999999997</v>
      </c>
      <c r="G139">
        <v>0.20799999999999999</v>
      </c>
    </row>
    <row r="149" spans="1:7">
      <c r="A149" t="str">
        <f>'Titles and Variables'!C19</f>
        <v>USMEX_LL</v>
      </c>
      <c r="B149" t="s">
        <v>61</v>
      </c>
    </row>
    <row r="150" spans="1:7">
      <c r="A150" t="s">
        <v>70</v>
      </c>
      <c r="B150" t="s">
        <v>71</v>
      </c>
      <c r="C150" t="s">
        <v>72</v>
      </c>
    </row>
    <row r="151" spans="1:7">
      <c r="A151" t="s">
        <v>68</v>
      </c>
      <c r="B151">
        <v>0</v>
      </c>
      <c r="C151">
        <v>1</v>
      </c>
      <c r="D151">
        <v>2</v>
      </c>
      <c r="E151">
        <v>3</v>
      </c>
      <c r="F151">
        <v>4</v>
      </c>
      <c r="G151">
        <v>5</v>
      </c>
    </row>
    <row r="152" spans="1:7">
      <c r="A152" t="s">
        <v>69</v>
      </c>
      <c r="B152" t="s">
        <v>73</v>
      </c>
      <c r="C152" t="s">
        <v>73</v>
      </c>
      <c r="D152" t="s">
        <v>73</v>
      </c>
      <c r="E152" t="s">
        <v>73</v>
      </c>
      <c r="F152" t="s">
        <v>73</v>
      </c>
      <c r="G152" t="s">
        <v>73</v>
      </c>
    </row>
    <row r="153" spans="1:7">
      <c r="A153">
        <v>1993</v>
      </c>
      <c r="B153">
        <v>0</v>
      </c>
      <c r="C153">
        <v>6.0000000000000001E-3</v>
      </c>
      <c r="D153">
        <v>0.28199999999999997</v>
      </c>
      <c r="E153">
        <v>1</v>
      </c>
      <c r="F153">
        <v>0.64900000000000002</v>
      </c>
      <c r="G153">
        <v>5.0999999999999997E-2</v>
      </c>
    </row>
    <row r="154" spans="1:7">
      <c r="A154">
        <v>1994</v>
      </c>
      <c r="B154">
        <v>0</v>
      </c>
      <c r="C154">
        <v>6.0000000000000001E-3</v>
      </c>
      <c r="D154">
        <v>0.28199999999999997</v>
      </c>
      <c r="E154">
        <v>1</v>
      </c>
      <c r="F154">
        <v>0.64900000000000002</v>
      </c>
      <c r="G154">
        <v>5.0999999999999997E-2</v>
      </c>
    </row>
    <row r="155" spans="1:7">
      <c r="A155">
        <v>1995</v>
      </c>
      <c r="B155">
        <v>0</v>
      </c>
      <c r="C155">
        <v>6.0000000000000001E-3</v>
      </c>
      <c r="D155">
        <v>0.28199999999999997</v>
      </c>
      <c r="E155">
        <v>1</v>
      </c>
      <c r="F155">
        <v>0.64900000000000002</v>
      </c>
      <c r="G155">
        <v>5.0999999999999997E-2</v>
      </c>
    </row>
    <row r="156" spans="1:7">
      <c r="A156">
        <v>1996</v>
      </c>
      <c r="B156">
        <v>0</v>
      </c>
      <c r="C156">
        <v>6.0000000000000001E-3</v>
      </c>
      <c r="D156">
        <v>0.28199999999999997</v>
      </c>
      <c r="E156">
        <v>1</v>
      </c>
      <c r="F156">
        <v>0.64900000000000002</v>
      </c>
      <c r="G156">
        <v>5.0999999999999997E-2</v>
      </c>
    </row>
    <row r="157" spans="1:7">
      <c r="A157">
        <v>1997</v>
      </c>
      <c r="B157">
        <v>0</v>
      </c>
      <c r="C157">
        <v>6.0000000000000001E-3</v>
      </c>
      <c r="D157">
        <v>0.28199999999999997</v>
      </c>
      <c r="E157">
        <v>1</v>
      </c>
      <c r="F157">
        <v>0.64900000000000002</v>
      </c>
      <c r="G157">
        <v>5.0999999999999997E-2</v>
      </c>
    </row>
    <row r="158" spans="1:7">
      <c r="A158">
        <v>1998</v>
      </c>
      <c r="B158">
        <v>0</v>
      </c>
      <c r="C158">
        <v>6.0000000000000001E-3</v>
      </c>
      <c r="D158">
        <v>0.28199999999999997</v>
      </c>
      <c r="E158">
        <v>1</v>
      </c>
      <c r="F158">
        <v>0.64900000000000002</v>
      </c>
      <c r="G158">
        <v>5.0999999999999997E-2</v>
      </c>
    </row>
    <row r="159" spans="1:7">
      <c r="A159">
        <v>1999</v>
      </c>
      <c r="B159">
        <v>0</v>
      </c>
      <c r="C159">
        <v>6.0000000000000001E-3</v>
      </c>
      <c r="D159">
        <v>0.28199999999999997</v>
      </c>
      <c r="E159">
        <v>1</v>
      </c>
      <c r="F159">
        <v>0.64900000000000002</v>
      </c>
      <c r="G159">
        <v>5.0999999999999997E-2</v>
      </c>
    </row>
    <row r="160" spans="1:7">
      <c r="A160">
        <v>2000</v>
      </c>
      <c r="B160">
        <v>0</v>
      </c>
      <c r="C160">
        <v>6.0000000000000001E-3</v>
      </c>
      <c r="D160">
        <v>0.28199999999999997</v>
      </c>
      <c r="E160">
        <v>1</v>
      </c>
      <c r="F160">
        <v>0.64900000000000002</v>
      </c>
      <c r="G160">
        <v>5.0999999999999997E-2</v>
      </c>
    </row>
    <row r="161" spans="1:7">
      <c r="A161">
        <v>2001</v>
      </c>
      <c r="B161">
        <v>0</v>
      </c>
      <c r="C161">
        <v>6.0000000000000001E-3</v>
      </c>
      <c r="D161">
        <v>0.28199999999999997</v>
      </c>
      <c r="E161">
        <v>1</v>
      </c>
      <c r="F161">
        <v>0.64900000000000002</v>
      </c>
      <c r="G161">
        <v>5.0999999999999997E-2</v>
      </c>
    </row>
    <row r="162" spans="1:7">
      <c r="A162">
        <v>2002</v>
      </c>
      <c r="B162">
        <v>0</v>
      </c>
      <c r="C162">
        <v>6.0000000000000001E-3</v>
      </c>
      <c r="D162">
        <v>0.28199999999999997</v>
      </c>
      <c r="E162">
        <v>1</v>
      </c>
      <c r="F162">
        <v>0.64900000000000002</v>
      </c>
      <c r="G162">
        <v>5.0999999999999997E-2</v>
      </c>
    </row>
    <row r="163" spans="1:7">
      <c r="A163">
        <v>2003</v>
      </c>
      <c r="B163">
        <v>0</v>
      </c>
      <c r="C163">
        <v>6.0000000000000001E-3</v>
      </c>
      <c r="D163">
        <v>0.28199999999999997</v>
      </c>
      <c r="E163">
        <v>1</v>
      </c>
      <c r="F163">
        <v>0.64900000000000002</v>
      </c>
      <c r="G163">
        <v>5.0999999999999997E-2</v>
      </c>
    </row>
    <row r="164" spans="1:7">
      <c r="A164">
        <v>2004</v>
      </c>
      <c r="B164">
        <v>0</v>
      </c>
      <c r="C164">
        <v>6.0000000000000001E-3</v>
      </c>
      <c r="D164">
        <v>0.28199999999999997</v>
      </c>
      <c r="E164">
        <v>1</v>
      </c>
      <c r="F164">
        <v>0.64900000000000002</v>
      </c>
      <c r="G164">
        <v>5.0999999999999997E-2</v>
      </c>
    </row>
    <row r="165" spans="1:7">
      <c r="A165">
        <v>2005</v>
      </c>
      <c r="B165">
        <v>0</v>
      </c>
      <c r="C165">
        <v>6.0000000000000001E-3</v>
      </c>
      <c r="D165">
        <v>0.28199999999999997</v>
      </c>
      <c r="E165">
        <v>1</v>
      </c>
      <c r="F165">
        <v>0.64900000000000002</v>
      </c>
      <c r="G165">
        <v>5.0999999999999997E-2</v>
      </c>
    </row>
    <row r="166" spans="1:7">
      <c r="A166">
        <v>2006</v>
      </c>
      <c r="B166">
        <v>0</v>
      </c>
      <c r="C166">
        <v>6.0000000000000001E-3</v>
      </c>
      <c r="D166">
        <v>0.28199999999999997</v>
      </c>
      <c r="E166">
        <v>1</v>
      </c>
      <c r="F166">
        <v>0.64900000000000002</v>
      </c>
      <c r="G166">
        <v>5.0999999999999997E-2</v>
      </c>
    </row>
    <row r="199" spans="1:7">
      <c r="A199" t="str">
        <f>'Titles and Variables'!C20</f>
        <v>US_RR</v>
      </c>
      <c r="B199" t="s">
        <v>61</v>
      </c>
    </row>
    <row r="200" spans="1:7">
      <c r="A200" t="s">
        <v>70</v>
      </c>
      <c r="B200" t="s">
        <v>71</v>
      </c>
      <c r="C200" t="s">
        <v>72</v>
      </c>
    </row>
    <row r="201" spans="1:7">
      <c r="A201" t="s">
        <v>68</v>
      </c>
      <c r="B201">
        <v>0</v>
      </c>
      <c r="C201">
        <v>1</v>
      </c>
      <c r="D201">
        <v>2</v>
      </c>
      <c r="E201">
        <v>3</v>
      </c>
      <c r="F201">
        <v>4</v>
      </c>
      <c r="G201">
        <v>5</v>
      </c>
    </row>
    <row r="202" spans="1:7">
      <c r="A202" t="s">
        <v>69</v>
      </c>
      <c r="B202" t="s">
        <v>73</v>
      </c>
      <c r="C202" t="s">
        <v>73</v>
      </c>
      <c r="D202" t="s">
        <v>73</v>
      </c>
      <c r="E202" t="s">
        <v>73</v>
      </c>
      <c r="F202" t="s">
        <v>73</v>
      </c>
      <c r="G202" t="s">
        <v>73</v>
      </c>
    </row>
    <row r="203" spans="1:7">
      <c r="A203">
        <v>1987</v>
      </c>
      <c r="B203">
        <v>0</v>
      </c>
      <c r="C203">
        <v>5.0000000000000001E-3</v>
      </c>
      <c r="D203">
        <v>0.26100000000000001</v>
      </c>
      <c r="E203">
        <v>1</v>
      </c>
      <c r="F203">
        <v>0.48</v>
      </c>
      <c r="G203">
        <v>2.7E-2</v>
      </c>
    </row>
    <row r="204" spans="1:7">
      <c r="A204">
        <v>1988</v>
      </c>
      <c r="B204">
        <v>0</v>
      </c>
      <c r="C204">
        <v>5.0000000000000001E-3</v>
      </c>
      <c r="D204">
        <v>0.26100000000000001</v>
      </c>
      <c r="E204">
        <v>1</v>
      </c>
      <c r="F204">
        <v>0.48</v>
      </c>
      <c r="G204">
        <v>2.7E-2</v>
      </c>
    </row>
    <row r="205" spans="1:7">
      <c r="A205">
        <v>1989</v>
      </c>
      <c r="B205">
        <v>0</v>
      </c>
      <c r="C205">
        <v>5.0000000000000001E-3</v>
      </c>
      <c r="D205">
        <v>0.26100000000000001</v>
      </c>
      <c r="E205">
        <v>1</v>
      </c>
      <c r="F205">
        <v>0.48</v>
      </c>
      <c r="G205">
        <v>2.7E-2</v>
      </c>
    </row>
    <row r="206" spans="1:7">
      <c r="A206">
        <v>1990</v>
      </c>
      <c r="B206">
        <v>0</v>
      </c>
      <c r="C206">
        <v>5.0000000000000001E-3</v>
      </c>
      <c r="D206">
        <v>0.26100000000000001</v>
      </c>
      <c r="E206">
        <v>1</v>
      </c>
      <c r="F206">
        <v>0.48</v>
      </c>
      <c r="G206">
        <v>2.7E-2</v>
      </c>
    </row>
    <row r="207" spans="1:7">
      <c r="A207">
        <v>1991</v>
      </c>
      <c r="B207">
        <v>0</v>
      </c>
      <c r="C207">
        <v>5.0000000000000001E-3</v>
      </c>
      <c r="D207">
        <v>0.26100000000000001</v>
      </c>
      <c r="E207">
        <v>1</v>
      </c>
      <c r="F207">
        <v>0.48</v>
      </c>
      <c r="G207">
        <v>2.7E-2</v>
      </c>
    </row>
    <row r="208" spans="1:7">
      <c r="A208">
        <v>1992</v>
      </c>
      <c r="B208">
        <v>0</v>
      </c>
      <c r="C208">
        <v>5.0000000000000001E-3</v>
      </c>
      <c r="D208">
        <v>0.26100000000000001</v>
      </c>
      <c r="E208">
        <v>1</v>
      </c>
      <c r="F208">
        <v>0.48</v>
      </c>
      <c r="G208">
        <v>2.7E-2</v>
      </c>
    </row>
    <row r="209" spans="1:7">
      <c r="A209">
        <v>1993</v>
      </c>
      <c r="B209">
        <v>0</v>
      </c>
      <c r="C209">
        <v>5.0000000000000001E-3</v>
      </c>
      <c r="D209">
        <v>0.26100000000000001</v>
      </c>
      <c r="E209">
        <v>1</v>
      </c>
      <c r="F209">
        <v>0.48</v>
      </c>
      <c r="G209">
        <v>2.7E-2</v>
      </c>
    </row>
    <row r="210" spans="1:7">
      <c r="A210">
        <v>1994</v>
      </c>
      <c r="B210">
        <v>0</v>
      </c>
      <c r="C210">
        <v>5.0000000000000001E-3</v>
      </c>
      <c r="D210">
        <v>0.26100000000000001</v>
      </c>
      <c r="E210">
        <v>1</v>
      </c>
      <c r="F210">
        <v>0.48</v>
      </c>
      <c r="G210">
        <v>2.7E-2</v>
      </c>
    </row>
    <row r="211" spans="1:7">
      <c r="A211">
        <v>1995</v>
      </c>
      <c r="B211">
        <v>0</v>
      </c>
      <c r="C211">
        <v>5.0000000000000001E-3</v>
      </c>
      <c r="D211">
        <v>0.26100000000000001</v>
      </c>
      <c r="E211">
        <v>1</v>
      </c>
      <c r="F211">
        <v>0.48</v>
      </c>
      <c r="G211">
        <v>2.7E-2</v>
      </c>
    </row>
    <row r="212" spans="1:7">
      <c r="A212">
        <v>1996</v>
      </c>
      <c r="B212">
        <v>0</v>
      </c>
      <c r="C212">
        <v>5.0000000000000001E-3</v>
      </c>
      <c r="D212">
        <v>0.26100000000000001</v>
      </c>
      <c r="E212">
        <v>1</v>
      </c>
      <c r="F212">
        <v>0.48</v>
      </c>
      <c r="G212">
        <v>2.7E-2</v>
      </c>
    </row>
    <row r="213" spans="1:7">
      <c r="A213">
        <v>1997</v>
      </c>
      <c r="B213">
        <v>0</v>
      </c>
      <c r="C213">
        <v>5.0000000000000001E-3</v>
      </c>
      <c r="D213">
        <v>0.26100000000000001</v>
      </c>
      <c r="E213">
        <v>1</v>
      </c>
      <c r="F213">
        <v>0.48</v>
      </c>
      <c r="G213">
        <v>2.7E-2</v>
      </c>
    </row>
    <row r="214" spans="1:7">
      <c r="A214">
        <v>1998</v>
      </c>
      <c r="B214">
        <v>0</v>
      </c>
      <c r="C214">
        <v>5.0000000000000001E-3</v>
      </c>
      <c r="D214">
        <v>0.26100000000000001</v>
      </c>
      <c r="E214">
        <v>1</v>
      </c>
      <c r="F214">
        <v>0.48</v>
      </c>
      <c r="G214">
        <v>2.7E-2</v>
      </c>
    </row>
    <row r="215" spans="1:7">
      <c r="A215">
        <v>1999</v>
      </c>
      <c r="B215">
        <v>0</v>
      </c>
      <c r="C215">
        <v>5.0000000000000001E-3</v>
      </c>
      <c r="D215">
        <v>0.26100000000000001</v>
      </c>
      <c r="E215">
        <v>1</v>
      </c>
      <c r="F215">
        <v>0.48</v>
      </c>
      <c r="G215">
        <v>2.7E-2</v>
      </c>
    </row>
    <row r="216" spans="1:7">
      <c r="A216">
        <v>2000</v>
      </c>
      <c r="B216">
        <v>0</v>
      </c>
      <c r="C216">
        <v>5.0000000000000001E-3</v>
      </c>
      <c r="D216">
        <v>0.26100000000000001</v>
      </c>
      <c r="E216">
        <v>1</v>
      </c>
      <c r="F216">
        <v>0.48</v>
      </c>
      <c r="G216">
        <v>2.7E-2</v>
      </c>
    </row>
    <row r="217" spans="1:7">
      <c r="A217">
        <v>2001</v>
      </c>
      <c r="B217">
        <v>0</v>
      </c>
      <c r="C217">
        <v>5.0000000000000001E-3</v>
      </c>
      <c r="D217">
        <v>0.26100000000000001</v>
      </c>
      <c r="E217">
        <v>1</v>
      </c>
      <c r="F217">
        <v>0.48</v>
      </c>
      <c r="G217">
        <v>2.7E-2</v>
      </c>
    </row>
    <row r="218" spans="1:7">
      <c r="A218">
        <v>2002</v>
      </c>
      <c r="B218">
        <v>0</v>
      </c>
      <c r="C218">
        <v>5.0000000000000001E-3</v>
      </c>
      <c r="D218">
        <v>0.26100000000000001</v>
      </c>
      <c r="E218">
        <v>1</v>
      </c>
      <c r="F218">
        <v>0.48</v>
      </c>
      <c r="G218">
        <v>2.7E-2</v>
      </c>
    </row>
    <row r="219" spans="1:7">
      <c r="A219">
        <v>2003</v>
      </c>
      <c r="B219">
        <v>0</v>
      </c>
      <c r="C219">
        <v>5.0000000000000001E-3</v>
      </c>
      <c r="D219">
        <v>0.26100000000000001</v>
      </c>
      <c r="E219">
        <v>1</v>
      </c>
      <c r="F219">
        <v>0.48</v>
      </c>
      <c r="G219">
        <v>2.7E-2</v>
      </c>
    </row>
    <row r="220" spans="1:7">
      <c r="A220">
        <v>2004</v>
      </c>
      <c r="B220">
        <v>0</v>
      </c>
      <c r="C220">
        <v>5.0000000000000001E-3</v>
      </c>
      <c r="D220">
        <v>0.26100000000000001</v>
      </c>
      <c r="E220">
        <v>1</v>
      </c>
      <c r="F220">
        <v>0.48</v>
      </c>
      <c r="G220">
        <v>2.7E-2</v>
      </c>
    </row>
    <row r="221" spans="1:7">
      <c r="A221">
        <v>2005</v>
      </c>
      <c r="B221">
        <v>0</v>
      </c>
      <c r="C221">
        <v>5.0000000000000001E-3</v>
      </c>
      <c r="D221">
        <v>0.26100000000000001</v>
      </c>
      <c r="E221">
        <v>1</v>
      </c>
      <c r="F221">
        <v>0.48</v>
      </c>
      <c r="G221">
        <v>2.7E-2</v>
      </c>
    </row>
    <row r="222" spans="1:7">
      <c r="A222">
        <v>2006</v>
      </c>
      <c r="B222">
        <v>0</v>
      </c>
      <c r="C222">
        <v>5.0000000000000001E-3</v>
      </c>
      <c r="D222">
        <v>0.26100000000000001</v>
      </c>
      <c r="E222">
        <v>1</v>
      </c>
      <c r="F222">
        <v>0.48</v>
      </c>
      <c r="G222">
        <v>2.7E-2</v>
      </c>
    </row>
    <row r="249" spans="1:2">
      <c r="A249" t="str">
        <f>'Titles and Variables'!C21</f>
        <v>US_PLL ATL</v>
      </c>
      <c r="B249" t="s">
        <v>61</v>
      </c>
    </row>
    <row r="299" spans="1:7">
      <c r="A299" t="str">
        <f>'Titles and Variables'!C22</f>
        <v>VEN_LL</v>
      </c>
      <c r="B299" t="s">
        <v>61</v>
      </c>
    </row>
    <row r="300" spans="1:7">
      <c r="A300" t="s">
        <v>70</v>
      </c>
      <c r="B300" t="s">
        <v>71</v>
      </c>
      <c r="C300" t="s">
        <v>72</v>
      </c>
    </row>
    <row r="301" spans="1:7">
      <c r="A301" t="s">
        <v>68</v>
      </c>
      <c r="B301">
        <v>0</v>
      </c>
      <c r="C301">
        <v>1</v>
      </c>
      <c r="D301">
        <v>2</v>
      </c>
      <c r="E301">
        <v>3</v>
      </c>
      <c r="F301">
        <v>4</v>
      </c>
      <c r="G301">
        <v>5</v>
      </c>
    </row>
    <row r="302" spans="1:7">
      <c r="A302" t="s">
        <v>69</v>
      </c>
      <c r="B302" t="s">
        <v>73</v>
      </c>
      <c r="C302" t="s">
        <v>73</v>
      </c>
      <c r="D302" t="s">
        <v>73</v>
      </c>
      <c r="E302" t="s">
        <v>73</v>
      </c>
      <c r="F302" t="s">
        <v>73</v>
      </c>
      <c r="G302" t="s">
        <v>73</v>
      </c>
    </row>
    <row r="303" spans="1:7">
      <c r="A303">
        <v>1991</v>
      </c>
      <c r="B303">
        <v>0</v>
      </c>
      <c r="C303">
        <v>1.6E-2</v>
      </c>
      <c r="D303">
        <v>0.11799999999999999</v>
      </c>
      <c r="E303">
        <v>0.84</v>
      </c>
      <c r="F303">
        <v>1</v>
      </c>
      <c r="G303">
        <v>0.36299999999999999</v>
      </c>
    </row>
    <row r="304" spans="1:7">
      <c r="A304">
        <v>1992</v>
      </c>
      <c r="B304">
        <v>0</v>
      </c>
      <c r="C304">
        <v>1.6E-2</v>
      </c>
      <c r="D304">
        <v>0.11799999999999999</v>
      </c>
      <c r="E304">
        <v>0.84</v>
      </c>
      <c r="F304">
        <v>1</v>
      </c>
      <c r="G304">
        <v>0.36299999999999999</v>
      </c>
    </row>
    <row r="305" spans="1:7">
      <c r="A305">
        <v>1993</v>
      </c>
      <c r="B305">
        <v>0</v>
      </c>
      <c r="C305">
        <v>1.6E-2</v>
      </c>
      <c r="D305">
        <v>0.11799999999999999</v>
      </c>
      <c r="E305">
        <v>0.84</v>
      </c>
      <c r="F305">
        <v>1</v>
      </c>
      <c r="G305">
        <v>0.36299999999999999</v>
      </c>
    </row>
    <row r="306" spans="1:7">
      <c r="A306">
        <v>1994</v>
      </c>
      <c r="B306">
        <v>0</v>
      </c>
      <c r="C306">
        <v>1.6E-2</v>
      </c>
      <c r="D306">
        <v>0.11799999999999999</v>
      </c>
      <c r="E306">
        <v>0.84</v>
      </c>
      <c r="F306">
        <v>1</v>
      </c>
      <c r="G306">
        <v>0.36299999999999999</v>
      </c>
    </row>
    <row r="307" spans="1:7">
      <c r="A307">
        <v>1995</v>
      </c>
      <c r="B307">
        <v>0</v>
      </c>
      <c r="C307">
        <v>1.6E-2</v>
      </c>
      <c r="D307">
        <v>0.11799999999999999</v>
      </c>
      <c r="E307">
        <v>0.84</v>
      </c>
      <c r="F307">
        <v>1</v>
      </c>
      <c r="G307">
        <v>0.36299999999999999</v>
      </c>
    </row>
    <row r="308" spans="1:7">
      <c r="A308">
        <v>1996</v>
      </c>
      <c r="B308">
        <v>0</v>
      </c>
      <c r="C308">
        <v>1.6E-2</v>
      </c>
      <c r="D308">
        <v>0.11799999999999999</v>
      </c>
      <c r="E308">
        <v>0.84</v>
      </c>
      <c r="F308">
        <v>1</v>
      </c>
      <c r="G308">
        <v>0.36299999999999999</v>
      </c>
    </row>
    <row r="309" spans="1:7">
      <c r="A309">
        <v>1997</v>
      </c>
      <c r="B309">
        <v>0</v>
      </c>
      <c r="C309">
        <v>1.6E-2</v>
      </c>
      <c r="D309">
        <v>0.11799999999999999</v>
      </c>
      <c r="E309">
        <v>0.84</v>
      </c>
      <c r="F309">
        <v>1</v>
      </c>
      <c r="G309">
        <v>0.36299999999999999</v>
      </c>
    </row>
    <row r="310" spans="1:7">
      <c r="A310">
        <v>1998</v>
      </c>
      <c r="B310">
        <v>0</v>
      </c>
      <c r="C310">
        <v>1.6E-2</v>
      </c>
      <c r="D310">
        <v>0.11799999999999999</v>
      </c>
      <c r="E310">
        <v>0.84</v>
      </c>
      <c r="F310">
        <v>1</v>
      </c>
      <c r="G310">
        <v>0.36299999999999999</v>
      </c>
    </row>
    <row r="311" spans="1:7">
      <c r="A311">
        <v>1999</v>
      </c>
      <c r="B311">
        <v>0</v>
      </c>
      <c r="C311">
        <v>1.6E-2</v>
      </c>
      <c r="D311">
        <v>0.11799999999999999</v>
      </c>
      <c r="E311">
        <v>0.84</v>
      </c>
      <c r="F311">
        <v>1</v>
      </c>
      <c r="G311">
        <v>0.36299999999999999</v>
      </c>
    </row>
    <row r="312" spans="1:7">
      <c r="A312">
        <v>2000</v>
      </c>
      <c r="B312">
        <v>0</v>
      </c>
      <c r="C312">
        <v>1.6E-2</v>
      </c>
      <c r="D312">
        <v>0.11799999999999999</v>
      </c>
      <c r="E312">
        <v>0.84</v>
      </c>
      <c r="F312">
        <v>1</v>
      </c>
      <c r="G312">
        <v>0.36299999999999999</v>
      </c>
    </row>
    <row r="313" spans="1:7">
      <c r="A313">
        <v>2001</v>
      </c>
      <c r="B313">
        <v>0</v>
      </c>
      <c r="C313">
        <v>1.6E-2</v>
      </c>
      <c r="D313">
        <v>0.11799999999999999</v>
      </c>
      <c r="E313">
        <v>0.84</v>
      </c>
      <c r="F313">
        <v>1</v>
      </c>
      <c r="G313">
        <v>0.36299999999999999</v>
      </c>
    </row>
    <row r="349" spans="1:6">
      <c r="A349" t="str">
        <f>'Titles and Variables'!C23</f>
        <v>VEN_PS</v>
      </c>
      <c r="B349" t="s">
        <v>61</v>
      </c>
    </row>
    <row r="350" spans="1:6">
      <c r="A350" t="s">
        <v>70</v>
      </c>
      <c r="B350" t="s">
        <v>71</v>
      </c>
      <c r="C350" t="s">
        <v>72</v>
      </c>
    </row>
    <row r="351" spans="1:6">
      <c r="A351" t="s">
        <v>68</v>
      </c>
      <c r="B351">
        <v>0</v>
      </c>
      <c r="C351">
        <v>1</v>
      </c>
      <c r="D351">
        <v>2</v>
      </c>
      <c r="E351">
        <v>3</v>
      </c>
      <c r="F351">
        <v>4</v>
      </c>
    </row>
    <row r="352" spans="1:6">
      <c r="A352" t="s">
        <v>69</v>
      </c>
      <c r="B352" t="s">
        <v>73</v>
      </c>
      <c r="C352" t="s">
        <v>73</v>
      </c>
      <c r="D352" t="s">
        <v>73</v>
      </c>
      <c r="E352" t="s">
        <v>73</v>
      </c>
      <c r="F352" t="s">
        <v>73</v>
      </c>
    </row>
    <row r="353" spans="1:6">
      <c r="A353">
        <v>1983</v>
      </c>
      <c r="B353">
        <v>1.4E-2</v>
      </c>
      <c r="C353">
        <v>0.63</v>
      </c>
      <c r="D353">
        <v>0.86799999999999999</v>
      </c>
      <c r="E353">
        <v>1</v>
      </c>
      <c r="F353">
        <v>0.19500000000000001</v>
      </c>
    </row>
    <row r="354" spans="1:6">
      <c r="A354">
        <v>1984</v>
      </c>
      <c r="B354">
        <v>1.4E-2</v>
      </c>
      <c r="C354">
        <v>0.63</v>
      </c>
      <c r="D354">
        <v>0.86799999999999999</v>
      </c>
      <c r="E354">
        <v>1</v>
      </c>
      <c r="F354">
        <v>0.19500000000000001</v>
      </c>
    </row>
    <row r="355" spans="1:6">
      <c r="A355">
        <v>1985</v>
      </c>
      <c r="B355">
        <v>1.4E-2</v>
      </c>
      <c r="C355">
        <v>0.63</v>
      </c>
      <c r="D355">
        <v>0.86799999999999999</v>
      </c>
      <c r="E355">
        <v>1</v>
      </c>
      <c r="F355">
        <v>0.19500000000000001</v>
      </c>
    </row>
    <row r="356" spans="1:6">
      <c r="A356">
        <v>1986</v>
      </c>
      <c r="B356">
        <v>1.4E-2</v>
      </c>
      <c r="C356">
        <v>0.63</v>
      </c>
      <c r="D356">
        <v>0.86799999999999999</v>
      </c>
      <c r="E356">
        <v>1</v>
      </c>
      <c r="F356">
        <v>0.19500000000000001</v>
      </c>
    </row>
    <row r="357" spans="1:6">
      <c r="A357">
        <v>1987</v>
      </c>
      <c r="B357">
        <v>1.4E-2</v>
      </c>
      <c r="C357">
        <v>0.63</v>
      </c>
      <c r="D357">
        <v>0.86799999999999999</v>
      </c>
      <c r="E357">
        <v>1</v>
      </c>
      <c r="F357">
        <v>0.19500000000000001</v>
      </c>
    </row>
    <row r="358" spans="1:6">
      <c r="A358">
        <v>1988</v>
      </c>
      <c r="B358">
        <v>1.4E-2</v>
      </c>
      <c r="C358">
        <v>0.63</v>
      </c>
      <c r="D358">
        <v>0.86799999999999999</v>
      </c>
      <c r="E358">
        <v>1</v>
      </c>
      <c r="F358">
        <v>0.19500000000000001</v>
      </c>
    </row>
    <row r="359" spans="1:6">
      <c r="A359">
        <v>1989</v>
      </c>
      <c r="B359">
        <v>1.4E-2</v>
      </c>
      <c r="C359">
        <v>0.63</v>
      </c>
      <c r="D359">
        <v>0.86799999999999999</v>
      </c>
      <c r="E359">
        <v>1</v>
      </c>
      <c r="F359">
        <v>0.19500000000000001</v>
      </c>
    </row>
    <row r="360" spans="1:6">
      <c r="A360">
        <v>1990</v>
      </c>
      <c r="B360">
        <v>1.4E-2</v>
      </c>
      <c r="C360">
        <v>0.63</v>
      </c>
      <c r="D360">
        <v>0.86799999999999999</v>
      </c>
      <c r="E360">
        <v>1</v>
      </c>
      <c r="F360">
        <v>0.19500000000000001</v>
      </c>
    </row>
    <row r="361" spans="1:6">
      <c r="A361">
        <v>1991</v>
      </c>
      <c r="B361">
        <v>1.4E-2</v>
      </c>
      <c r="C361">
        <v>0.63</v>
      </c>
      <c r="D361">
        <v>0.86799999999999999</v>
      </c>
      <c r="E361">
        <v>1</v>
      </c>
      <c r="F361">
        <v>0.19500000000000001</v>
      </c>
    </row>
    <row r="362" spans="1:6">
      <c r="A362">
        <v>1992</v>
      </c>
      <c r="B362">
        <v>1.4E-2</v>
      </c>
      <c r="C362">
        <v>0.63</v>
      </c>
      <c r="D362">
        <v>0.86799999999999999</v>
      </c>
      <c r="E362">
        <v>1</v>
      </c>
      <c r="F362">
        <v>0.19500000000000001</v>
      </c>
    </row>
    <row r="363" spans="1:6">
      <c r="A363">
        <v>1993</v>
      </c>
      <c r="B363">
        <v>1.4E-2</v>
      </c>
      <c r="C363">
        <v>0.63</v>
      </c>
      <c r="D363">
        <v>0.86799999999999999</v>
      </c>
      <c r="E363">
        <v>1</v>
      </c>
      <c r="F363">
        <v>0.19500000000000001</v>
      </c>
    </row>
    <row r="364" spans="1:6">
      <c r="A364">
        <v>1994</v>
      </c>
      <c r="B364">
        <v>1.4E-2</v>
      </c>
      <c r="C364">
        <v>0.63</v>
      </c>
      <c r="D364">
        <v>0.86799999999999999</v>
      </c>
      <c r="E364">
        <v>1</v>
      </c>
      <c r="F364">
        <v>0.19500000000000001</v>
      </c>
    </row>
    <row r="365" spans="1:6">
      <c r="A365">
        <v>1995</v>
      </c>
      <c r="B365">
        <v>1.4E-2</v>
      </c>
      <c r="C365">
        <v>0.63</v>
      </c>
      <c r="D365">
        <v>0.86799999999999999</v>
      </c>
      <c r="E365">
        <v>1</v>
      </c>
      <c r="F365">
        <v>0.19500000000000001</v>
      </c>
    </row>
    <row r="366" spans="1:6">
      <c r="A366">
        <v>1996</v>
      </c>
      <c r="B366">
        <v>1.4E-2</v>
      </c>
      <c r="C366">
        <v>0.63</v>
      </c>
      <c r="D366">
        <v>0.86799999999999999</v>
      </c>
      <c r="E366">
        <v>1</v>
      </c>
      <c r="F366">
        <v>0.19500000000000001</v>
      </c>
    </row>
    <row r="367" spans="1:6">
      <c r="A367">
        <v>1997</v>
      </c>
      <c r="B367">
        <v>1.4E-2</v>
      </c>
      <c r="C367">
        <v>0.63</v>
      </c>
      <c r="D367">
        <v>0.86799999999999999</v>
      </c>
      <c r="E367">
        <v>1</v>
      </c>
      <c r="F367">
        <v>0.19500000000000001</v>
      </c>
    </row>
    <row r="368" spans="1:6">
      <c r="A368">
        <v>1998</v>
      </c>
      <c r="B368">
        <v>1.4E-2</v>
      </c>
      <c r="C368">
        <v>0.63</v>
      </c>
      <c r="D368">
        <v>0.86799999999999999</v>
      </c>
      <c r="E368">
        <v>1</v>
      </c>
      <c r="F368">
        <v>0.19500000000000001</v>
      </c>
    </row>
    <row r="369" spans="1:6">
      <c r="A369">
        <v>1999</v>
      </c>
      <c r="B369">
        <v>1.4E-2</v>
      </c>
      <c r="C369">
        <v>0.63</v>
      </c>
      <c r="D369">
        <v>0.86799999999999999</v>
      </c>
      <c r="E369">
        <v>1</v>
      </c>
      <c r="F369">
        <v>0.19500000000000001</v>
      </c>
    </row>
    <row r="370" spans="1:6">
      <c r="A370">
        <v>2000</v>
      </c>
      <c r="B370">
        <v>1.4E-2</v>
      </c>
      <c r="C370">
        <v>0.63</v>
      </c>
      <c r="D370">
        <v>0.86799999999999999</v>
      </c>
      <c r="E370">
        <v>1</v>
      </c>
      <c r="F370">
        <v>0.19500000000000001</v>
      </c>
    </row>
    <row r="371" spans="1:6">
      <c r="A371">
        <v>2001</v>
      </c>
      <c r="B371">
        <v>1.4E-2</v>
      </c>
      <c r="C371">
        <v>0.63</v>
      </c>
      <c r="D371">
        <v>0.86799999999999999</v>
      </c>
      <c r="E371">
        <v>1</v>
      </c>
      <c r="F371">
        <v>0.19500000000000001</v>
      </c>
    </row>
    <row r="372" spans="1:6">
      <c r="A372">
        <v>2002</v>
      </c>
      <c r="B372">
        <v>1.4E-2</v>
      </c>
      <c r="C372">
        <v>0.63</v>
      </c>
      <c r="D372">
        <v>0.86799999999999999</v>
      </c>
      <c r="E372">
        <v>1</v>
      </c>
      <c r="F372">
        <v>0.19500000000000001</v>
      </c>
    </row>
    <row r="373" spans="1:6">
      <c r="A373">
        <v>2003</v>
      </c>
      <c r="B373">
        <v>1.4E-2</v>
      </c>
      <c r="C373">
        <v>0.63</v>
      </c>
      <c r="D373">
        <v>0.86799999999999999</v>
      </c>
      <c r="E373">
        <v>1</v>
      </c>
      <c r="F373">
        <v>0.19500000000000001</v>
      </c>
    </row>
    <row r="374" spans="1:6">
      <c r="A374">
        <v>2004</v>
      </c>
      <c r="B374">
        <v>1.4E-2</v>
      </c>
      <c r="C374">
        <v>0.63</v>
      </c>
      <c r="D374">
        <v>0.86799999999999999</v>
      </c>
      <c r="E374">
        <v>1</v>
      </c>
      <c r="F374">
        <v>0.19500000000000001</v>
      </c>
    </row>
    <row r="375" spans="1:6">
      <c r="A375">
        <v>2005</v>
      </c>
      <c r="B375">
        <v>1.4E-2</v>
      </c>
      <c r="C375">
        <v>0.63</v>
      </c>
      <c r="D375">
        <v>0.86799999999999999</v>
      </c>
      <c r="E375">
        <v>1</v>
      </c>
      <c r="F375">
        <v>0.19500000000000001</v>
      </c>
    </row>
    <row r="399" spans="1:3">
      <c r="A399" t="str">
        <f>'Titles and Variables'!C24</f>
        <v>EUR-FAD-PS</v>
      </c>
      <c r="B399" t="s">
        <v>61</v>
      </c>
    </row>
    <row r="400" spans="1:3">
      <c r="A400" t="s">
        <v>70</v>
      </c>
      <c r="B400" t="s">
        <v>71</v>
      </c>
      <c r="C400" t="s">
        <v>72</v>
      </c>
    </row>
    <row r="401" spans="1:7">
      <c r="A401" t="s">
        <v>68</v>
      </c>
      <c r="B401">
        <v>0</v>
      </c>
      <c r="C401">
        <v>1</v>
      </c>
      <c r="D401">
        <v>2</v>
      </c>
      <c r="E401">
        <v>3</v>
      </c>
      <c r="F401">
        <v>4</v>
      </c>
      <c r="G401">
        <v>5</v>
      </c>
    </row>
    <row r="402" spans="1:7">
      <c r="A402" t="s">
        <v>69</v>
      </c>
      <c r="B402" t="s">
        <v>73</v>
      </c>
      <c r="C402" t="s">
        <v>73</v>
      </c>
      <c r="D402" t="s">
        <v>73</v>
      </c>
      <c r="E402" t="s">
        <v>73</v>
      </c>
      <c r="F402" t="s">
        <v>73</v>
      </c>
      <c r="G402" t="s">
        <v>73</v>
      </c>
    </row>
    <row r="403" spans="1:7">
      <c r="A403">
        <v>1970</v>
      </c>
      <c r="B403">
        <v>9.0999999999999998E-2</v>
      </c>
      <c r="C403">
        <v>0.17899999999999999</v>
      </c>
      <c r="D403">
        <v>0.13800000000000001</v>
      </c>
      <c r="E403">
        <v>0.36099999999999999</v>
      </c>
      <c r="F403">
        <v>1</v>
      </c>
      <c r="G403">
        <v>0.215</v>
      </c>
    </row>
    <row r="404" spans="1:7">
      <c r="A404">
        <v>1971</v>
      </c>
      <c r="B404">
        <v>9.0999999999999998E-2</v>
      </c>
      <c r="C404">
        <v>0.17899999999999999</v>
      </c>
      <c r="D404">
        <v>0.13800000000000001</v>
      </c>
      <c r="E404">
        <v>0.36099999999999999</v>
      </c>
      <c r="F404">
        <v>1</v>
      </c>
      <c r="G404">
        <v>0.215</v>
      </c>
    </row>
    <row r="405" spans="1:7">
      <c r="A405">
        <v>1972</v>
      </c>
      <c r="B405">
        <v>9.0999999999999998E-2</v>
      </c>
      <c r="C405">
        <v>0.17899999999999999</v>
      </c>
      <c r="D405">
        <v>0.13800000000000001</v>
      </c>
      <c r="E405">
        <v>0.36099999999999999</v>
      </c>
      <c r="F405">
        <v>1</v>
      </c>
      <c r="G405">
        <v>0.215</v>
      </c>
    </row>
    <row r="406" spans="1:7">
      <c r="A406">
        <v>1973</v>
      </c>
      <c r="B406">
        <v>9.0999999999999998E-2</v>
      </c>
      <c r="C406">
        <v>0.17899999999999999</v>
      </c>
      <c r="D406">
        <v>0.13800000000000001</v>
      </c>
      <c r="E406">
        <v>0.36099999999999999</v>
      </c>
      <c r="F406">
        <v>1</v>
      </c>
      <c r="G406">
        <v>0.215</v>
      </c>
    </row>
    <row r="407" spans="1:7">
      <c r="A407">
        <v>1974</v>
      </c>
      <c r="B407">
        <v>9.0999999999999998E-2</v>
      </c>
      <c r="C407">
        <v>0.17899999999999999</v>
      </c>
      <c r="D407">
        <v>0.13800000000000001</v>
      </c>
      <c r="E407">
        <v>0.36099999999999999</v>
      </c>
      <c r="F407">
        <v>1</v>
      </c>
      <c r="G407">
        <v>0.215</v>
      </c>
    </row>
    <row r="408" spans="1:7">
      <c r="A408">
        <v>1975</v>
      </c>
      <c r="B408">
        <v>9.0999999999999998E-2</v>
      </c>
      <c r="C408">
        <v>0.17899999999999999</v>
      </c>
      <c r="D408">
        <v>0.13800000000000001</v>
      </c>
      <c r="E408">
        <v>0.36099999999999999</v>
      </c>
      <c r="F408">
        <v>1</v>
      </c>
      <c r="G408">
        <v>0.215</v>
      </c>
    </row>
    <row r="409" spans="1:7">
      <c r="A409">
        <v>1976</v>
      </c>
      <c r="B409">
        <v>9.0999999999999998E-2</v>
      </c>
      <c r="C409">
        <v>0.17899999999999999</v>
      </c>
      <c r="D409">
        <v>0.13800000000000001</v>
      </c>
      <c r="E409">
        <v>0.36099999999999999</v>
      </c>
      <c r="F409">
        <v>1</v>
      </c>
      <c r="G409">
        <v>0.215</v>
      </c>
    </row>
    <row r="410" spans="1:7">
      <c r="A410">
        <v>1977</v>
      </c>
      <c r="B410">
        <v>9.0999999999999998E-2</v>
      </c>
      <c r="C410">
        <v>0.17899999999999999</v>
      </c>
      <c r="D410">
        <v>0.13800000000000001</v>
      </c>
      <c r="E410">
        <v>0.36099999999999999</v>
      </c>
      <c r="F410">
        <v>1</v>
      </c>
      <c r="G410">
        <v>0.215</v>
      </c>
    </row>
    <row r="411" spans="1:7">
      <c r="A411">
        <v>1978</v>
      </c>
      <c r="B411">
        <v>9.0999999999999998E-2</v>
      </c>
      <c r="C411">
        <v>0.17899999999999999</v>
      </c>
      <c r="D411">
        <v>0.13800000000000001</v>
      </c>
      <c r="E411">
        <v>0.36099999999999999</v>
      </c>
      <c r="F411">
        <v>1</v>
      </c>
      <c r="G411">
        <v>0.215</v>
      </c>
    </row>
    <row r="412" spans="1:7">
      <c r="A412">
        <v>1979</v>
      </c>
      <c r="B412">
        <v>9.0999999999999998E-2</v>
      </c>
      <c r="C412">
        <v>0.17899999999999999</v>
      </c>
      <c r="D412">
        <v>0.13800000000000001</v>
      </c>
      <c r="E412">
        <v>0.36099999999999999</v>
      </c>
      <c r="F412">
        <v>1</v>
      </c>
      <c r="G412">
        <v>0.215</v>
      </c>
    </row>
    <row r="413" spans="1:7">
      <c r="A413">
        <v>1980</v>
      </c>
      <c r="B413">
        <v>9.0999999999999998E-2</v>
      </c>
      <c r="C413">
        <v>0.17899999999999999</v>
      </c>
      <c r="D413">
        <v>0.13800000000000001</v>
      </c>
      <c r="E413">
        <v>0.36099999999999999</v>
      </c>
      <c r="F413">
        <v>1</v>
      </c>
      <c r="G413">
        <v>0.215</v>
      </c>
    </row>
    <row r="414" spans="1:7">
      <c r="A414">
        <v>1981</v>
      </c>
      <c r="B414">
        <v>9.0999999999999998E-2</v>
      </c>
      <c r="C414">
        <v>0.17899999999999999</v>
      </c>
      <c r="D414">
        <v>0.13800000000000001</v>
      </c>
      <c r="E414">
        <v>0.36099999999999999</v>
      </c>
      <c r="F414">
        <v>1</v>
      </c>
      <c r="G414">
        <v>0.215</v>
      </c>
    </row>
    <row r="415" spans="1:7">
      <c r="A415">
        <v>1982</v>
      </c>
      <c r="B415">
        <v>9.0999999999999998E-2</v>
      </c>
      <c r="C415">
        <v>0.17899999999999999</v>
      </c>
      <c r="D415">
        <v>0.13800000000000001</v>
      </c>
      <c r="E415">
        <v>0.36099999999999999</v>
      </c>
      <c r="F415">
        <v>1</v>
      </c>
      <c r="G415">
        <v>0.215</v>
      </c>
    </row>
    <row r="416" spans="1:7">
      <c r="A416">
        <v>1983</v>
      </c>
      <c r="B416">
        <v>9.0999999999999998E-2</v>
      </c>
      <c r="C416">
        <v>0.17899999999999999</v>
      </c>
      <c r="D416">
        <v>0.13800000000000001</v>
      </c>
      <c r="E416">
        <v>0.36099999999999999</v>
      </c>
      <c r="F416">
        <v>1</v>
      </c>
      <c r="G416">
        <v>0.215</v>
      </c>
    </row>
    <row r="417" spans="1:7">
      <c r="A417">
        <v>1984</v>
      </c>
      <c r="B417">
        <v>9.0999999999999998E-2</v>
      </c>
      <c r="C417">
        <v>0.17899999999999999</v>
      </c>
      <c r="D417">
        <v>0.13800000000000001</v>
      </c>
      <c r="E417">
        <v>0.36099999999999999</v>
      </c>
      <c r="F417">
        <v>1</v>
      </c>
      <c r="G417">
        <v>0.215</v>
      </c>
    </row>
    <row r="418" spans="1:7">
      <c r="A418">
        <v>1985</v>
      </c>
      <c r="B418">
        <v>9.0999999999999998E-2</v>
      </c>
      <c r="C418">
        <v>0.17899999999999999</v>
      </c>
      <c r="D418">
        <v>0.13800000000000001</v>
      </c>
      <c r="E418">
        <v>0.36099999999999999</v>
      </c>
      <c r="F418">
        <v>1</v>
      </c>
      <c r="G418">
        <v>0.215</v>
      </c>
    </row>
    <row r="419" spans="1:7">
      <c r="A419">
        <v>1986</v>
      </c>
      <c r="B419">
        <v>9.0999999999999998E-2</v>
      </c>
      <c r="C419">
        <v>0.17899999999999999</v>
      </c>
      <c r="D419">
        <v>0.13800000000000001</v>
      </c>
      <c r="E419">
        <v>0.36099999999999999</v>
      </c>
      <c r="F419">
        <v>1</v>
      </c>
      <c r="G419">
        <v>0.215</v>
      </c>
    </row>
    <row r="420" spans="1:7">
      <c r="A420">
        <v>1987</v>
      </c>
      <c r="B420">
        <v>9.0999999999999998E-2</v>
      </c>
      <c r="C420">
        <v>0.17899999999999999</v>
      </c>
      <c r="D420">
        <v>0.13800000000000001</v>
      </c>
      <c r="E420">
        <v>0.36099999999999999</v>
      </c>
      <c r="F420">
        <v>1</v>
      </c>
      <c r="G420">
        <v>0.215</v>
      </c>
    </row>
    <row r="421" spans="1:7">
      <c r="A421">
        <v>1988</v>
      </c>
      <c r="B421">
        <v>9.0999999999999998E-2</v>
      </c>
      <c r="C421">
        <v>0.17899999999999999</v>
      </c>
      <c r="D421">
        <v>0.13800000000000001</v>
      </c>
      <c r="E421">
        <v>0.36099999999999999</v>
      </c>
      <c r="F421">
        <v>1</v>
      </c>
      <c r="G421">
        <v>0.215</v>
      </c>
    </row>
    <row r="422" spans="1:7">
      <c r="A422">
        <v>1989</v>
      </c>
      <c r="B422">
        <v>9.0999999999999998E-2</v>
      </c>
      <c r="C422">
        <v>0.17899999999999999</v>
      </c>
      <c r="D422">
        <v>0.13800000000000001</v>
      </c>
      <c r="E422">
        <v>0.36099999999999999</v>
      </c>
      <c r="F422">
        <v>1</v>
      </c>
      <c r="G422">
        <v>0.215</v>
      </c>
    </row>
    <row r="423" spans="1:7">
      <c r="A423">
        <v>1990</v>
      </c>
      <c r="B423">
        <v>9.0999999999999998E-2</v>
      </c>
      <c r="C423">
        <v>0.17899999999999999</v>
      </c>
      <c r="D423">
        <v>0.13800000000000001</v>
      </c>
      <c r="E423">
        <v>0.36099999999999999</v>
      </c>
      <c r="F423">
        <v>1</v>
      </c>
      <c r="G423">
        <v>0.215</v>
      </c>
    </row>
    <row r="424" spans="1:7">
      <c r="A424">
        <v>1991</v>
      </c>
      <c r="B424">
        <v>9.0999999999999998E-2</v>
      </c>
      <c r="C424">
        <v>0.17899999999999999</v>
      </c>
      <c r="D424">
        <v>0.13800000000000001</v>
      </c>
      <c r="E424">
        <v>0.36099999999999999</v>
      </c>
      <c r="F424">
        <v>1</v>
      </c>
      <c r="G424">
        <v>0.215</v>
      </c>
    </row>
    <row r="425" spans="1:7">
      <c r="A425">
        <v>1992</v>
      </c>
      <c r="B425">
        <v>9.0999999999999998E-2</v>
      </c>
      <c r="C425">
        <v>0.17899999999999999</v>
      </c>
      <c r="D425">
        <v>0.13800000000000001</v>
      </c>
      <c r="E425">
        <v>0.36099999999999999</v>
      </c>
      <c r="F425">
        <v>1</v>
      </c>
      <c r="G425">
        <v>0.215</v>
      </c>
    </row>
    <row r="426" spans="1:7">
      <c r="A426">
        <v>1993</v>
      </c>
      <c r="B426">
        <v>9.0999999999999998E-2</v>
      </c>
      <c r="C426">
        <v>0.17899999999999999</v>
      </c>
      <c r="D426">
        <v>0.13800000000000001</v>
      </c>
      <c r="E426">
        <v>0.36099999999999999</v>
      </c>
      <c r="F426">
        <v>1</v>
      </c>
      <c r="G426">
        <v>0.215</v>
      </c>
    </row>
    <row r="427" spans="1:7">
      <c r="A427">
        <v>1994</v>
      </c>
      <c r="B427">
        <v>9.0999999999999998E-2</v>
      </c>
      <c r="C427">
        <v>0.17899999999999999</v>
      </c>
      <c r="D427">
        <v>0.13800000000000001</v>
      </c>
      <c r="E427">
        <v>0.36099999999999999</v>
      </c>
      <c r="F427">
        <v>1</v>
      </c>
      <c r="G427">
        <v>0.215</v>
      </c>
    </row>
    <row r="428" spans="1:7">
      <c r="A428">
        <v>1995</v>
      </c>
      <c r="B428">
        <v>9.0999999999999998E-2</v>
      </c>
      <c r="C428">
        <v>0.17899999999999999</v>
      </c>
      <c r="D428">
        <v>0.13800000000000001</v>
      </c>
      <c r="E428">
        <v>0.36099999999999999</v>
      </c>
      <c r="F428">
        <v>1</v>
      </c>
      <c r="G428">
        <v>0.215</v>
      </c>
    </row>
    <row r="429" spans="1:7">
      <c r="A429">
        <v>1996</v>
      </c>
      <c r="B429">
        <v>9.0999999999999998E-2</v>
      </c>
      <c r="C429">
        <v>0.17899999999999999</v>
      </c>
      <c r="D429">
        <v>0.13800000000000001</v>
      </c>
      <c r="E429">
        <v>0.36099999999999999</v>
      </c>
      <c r="F429">
        <v>1</v>
      </c>
      <c r="G429">
        <v>0.215</v>
      </c>
    </row>
    <row r="430" spans="1:7">
      <c r="A430">
        <v>1997</v>
      </c>
      <c r="B430">
        <v>9.0999999999999998E-2</v>
      </c>
      <c r="C430">
        <v>0.17899999999999999</v>
      </c>
      <c r="D430">
        <v>0.13800000000000001</v>
      </c>
      <c r="E430">
        <v>0.36099999999999999</v>
      </c>
      <c r="F430">
        <v>1</v>
      </c>
      <c r="G430">
        <v>0.215</v>
      </c>
    </row>
    <row r="431" spans="1:7">
      <c r="A431">
        <v>1998</v>
      </c>
      <c r="B431">
        <v>9.0999999999999998E-2</v>
      </c>
      <c r="C431">
        <v>0.17899999999999999</v>
      </c>
      <c r="D431">
        <v>0.13800000000000001</v>
      </c>
      <c r="E431">
        <v>0.36099999999999999</v>
      </c>
      <c r="F431">
        <v>1</v>
      </c>
      <c r="G431">
        <v>0.215</v>
      </c>
    </row>
    <row r="432" spans="1:7">
      <c r="A432">
        <v>1999</v>
      </c>
      <c r="B432">
        <v>9.0999999999999998E-2</v>
      </c>
      <c r="C432">
        <v>0.17899999999999999</v>
      </c>
      <c r="D432">
        <v>0.13800000000000001</v>
      </c>
      <c r="E432">
        <v>0.36099999999999999</v>
      </c>
      <c r="F432">
        <v>1</v>
      </c>
      <c r="G432">
        <v>0.215</v>
      </c>
    </row>
    <row r="433" spans="1:7">
      <c r="A433">
        <v>2000</v>
      </c>
      <c r="B433">
        <v>9.0999999999999998E-2</v>
      </c>
      <c r="C433">
        <v>0.17899999999999999</v>
      </c>
      <c r="D433">
        <v>0.13800000000000001</v>
      </c>
      <c r="E433">
        <v>0.36099999999999999</v>
      </c>
      <c r="F433">
        <v>1</v>
      </c>
      <c r="G433">
        <v>0.215</v>
      </c>
    </row>
    <row r="434" spans="1:7">
      <c r="A434">
        <v>2001</v>
      </c>
      <c r="B434">
        <v>9.0999999999999998E-2</v>
      </c>
      <c r="C434">
        <v>0.17899999999999999</v>
      </c>
      <c r="D434">
        <v>0.13800000000000001</v>
      </c>
      <c r="E434">
        <v>0.36099999999999999</v>
      </c>
      <c r="F434">
        <v>1</v>
      </c>
      <c r="G434">
        <v>0.215</v>
      </c>
    </row>
    <row r="435" spans="1:7">
      <c r="A435">
        <v>2002</v>
      </c>
      <c r="B435">
        <v>9.0999999999999998E-2</v>
      </c>
      <c r="C435">
        <v>0.17899999999999999</v>
      </c>
      <c r="D435">
        <v>0.13800000000000001</v>
      </c>
      <c r="E435">
        <v>0.36099999999999999</v>
      </c>
      <c r="F435">
        <v>1</v>
      </c>
      <c r="G435">
        <v>0.215</v>
      </c>
    </row>
    <row r="436" spans="1:7">
      <c r="A436">
        <v>2003</v>
      </c>
      <c r="B436">
        <v>9.0999999999999998E-2</v>
      </c>
      <c r="C436">
        <v>0.17899999999999999</v>
      </c>
      <c r="D436">
        <v>0.13800000000000001</v>
      </c>
      <c r="E436">
        <v>0.36099999999999999</v>
      </c>
      <c r="F436">
        <v>1</v>
      </c>
      <c r="G436">
        <v>0.215</v>
      </c>
    </row>
    <row r="437" spans="1:7">
      <c r="A437">
        <v>2004</v>
      </c>
      <c r="B437">
        <v>9.0999999999999998E-2</v>
      </c>
      <c r="C437">
        <v>0.17899999999999999</v>
      </c>
      <c r="D437">
        <v>0.13800000000000001</v>
      </c>
      <c r="E437">
        <v>0.36099999999999999</v>
      </c>
      <c r="F437">
        <v>1</v>
      </c>
      <c r="G437">
        <v>0.215</v>
      </c>
    </row>
    <row r="438" spans="1:7">
      <c r="A438">
        <v>2005</v>
      </c>
      <c r="B438">
        <v>9.0999999999999998E-2</v>
      </c>
      <c r="C438">
        <v>0.17899999999999999</v>
      </c>
      <c r="D438">
        <v>0.13800000000000001</v>
      </c>
      <c r="E438">
        <v>0.36099999999999999</v>
      </c>
      <c r="F438">
        <v>1</v>
      </c>
      <c r="G438">
        <v>0.215</v>
      </c>
    </row>
    <row r="439" spans="1:7">
      <c r="A439">
        <v>2006</v>
      </c>
      <c r="B439">
        <v>9.0999999999999998E-2</v>
      </c>
      <c r="C439">
        <v>0.17899999999999999</v>
      </c>
      <c r="D439">
        <v>0.13800000000000001</v>
      </c>
      <c r="E439">
        <v>0.36099999999999999</v>
      </c>
      <c r="F439">
        <v>1</v>
      </c>
      <c r="G439">
        <v>0.215</v>
      </c>
    </row>
    <row r="449" spans="1:2">
      <c r="A449" t="str">
        <f>'Titles and Variables'!C25</f>
        <v>EUR-PS 3%</v>
      </c>
      <c r="B449" t="s">
        <v>61</v>
      </c>
    </row>
    <row r="499" spans="1:2">
      <c r="A499" t="str">
        <f>'Titles and Variables'!C26</f>
        <v>EU-DAKAR</v>
      </c>
      <c r="B499" t="s">
        <v>61</v>
      </c>
    </row>
    <row r="549" spans="1:2">
      <c r="A549" t="str">
        <f>'Titles and Variables'!C27</f>
        <v>URU-LL</v>
      </c>
      <c r="B549" t="s">
        <v>61</v>
      </c>
    </row>
    <row r="599" spans="1:2">
      <c r="A599" t="str">
        <f>'Titles and Variables'!C28</f>
        <v>BRA-URU-LL</v>
      </c>
      <c r="B599" t="s">
        <v>61</v>
      </c>
    </row>
    <row r="649" spans="1:2">
      <c r="A649" t="str">
        <f>'Titles and Variables'!C29</f>
        <v>CHIN-TAI-LL</v>
      </c>
      <c r="B649" t="s">
        <v>61</v>
      </c>
    </row>
    <row r="699" spans="1:2">
      <c r="A699" t="str">
        <f>'Titles and Variables'!C30</f>
        <v>TROP-PS</v>
      </c>
      <c r="B699" t="s">
        <v>61</v>
      </c>
    </row>
    <row r="749" spans="1:2">
      <c r="A749" t="str">
        <f>'Titles and Variables'!C31</f>
        <v>CAN-IS-BB</v>
      </c>
      <c r="B749" t="s">
        <v>61</v>
      </c>
    </row>
    <row r="799" spans="1:2">
      <c r="A799" t="str">
        <f>'Titles and Variables'!C32</f>
        <v>NOT-USED</v>
      </c>
      <c r="B799" t="s">
        <v>61</v>
      </c>
    </row>
    <row r="849" spans="1:2">
      <c r="A849" t="str">
        <f>'Titles and Variables'!C33</f>
        <v>NOT-USED</v>
      </c>
      <c r="B849" t="s">
        <v>61</v>
      </c>
    </row>
    <row r="899" spans="1:2">
      <c r="A899" t="str">
        <f>'Titles and Variables'!C34</f>
        <v>NOT-USED</v>
      </c>
      <c r="B899" t="s">
        <v>61</v>
      </c>
    </row>
    <row r="949" spans="1:2">
      <c r="A949" t="str">
        <f>'Titles and Variables'!C35</f>
        <v>NOT-USED</v>
      </c>
      <c r="B949" t="s">
        <v>61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"/>
  <dimension ref="A1:G949"/>
  <sheetViews>
    <sheetView topLeftCell="E1" zoomScale="61" zoomScaleNormal="61" workbookViewId="0">
      <selection activeCell="T115" sqref="T115"/>
    </sheetView>
  </sheetViews>
  <sheetFormatPr defaultRowHeight="12.75"/>
  <cols>
    <col min="1" max="1" width="19.28515625" customWidth="1"/>
  </cols>
  <sheetData>
    <row r="1" spans="1:6">
      <c r="A1" t="str">
        <f>'Titles and Variables'!C16</f>
        <v>BRA_BB</v>
      </c>
      <c r="B1" t="s">
        <v>61</v>
      </c>
    </row>
    <row r="2" spans="1:6">
      <c r="A2" t="s">
        <v>70</v>
      </c>
      <c r="B2" t="s">
        <v>71</v>
      </c>
      <c r="C2" t="s">
        <v>72</v>
      </c>
    </row>
    <row r="3" spans="1:6">
      <c r="A3" t="s">
        <v>68</v>
      </c>
      <c r="B3">
        <v>0</v>
      </c>
      <c r="C3">
        <v>1</v>
      </c>
      <c r="D3">
        <v>2</v>
      </c>
      <c r="E3">
        <v>3</v>
      </c>
      <c r="F3">
        <v>4</v>
      </c>
    </row>
    <row r="4" spans="1:6">
      <c r="A4" t="s">
        <v>69</v>
      </c>
      <c r="B4" t="s">
        <v>73</v>
      </c>
      <c r="C4" t="s">
        <v>73</v>
      </c>
      <c r="D4" t="s">
        <v>73</v>
      </c>
      <c r="E4" t="s">
        <v>73</v>
      </c>
      <c r="F4" t="s">
        <v>73</v>
      </c>
    </row>
    <row r="5" spans="1:6">
      <c r="A5">
        <v>1981</v>
      </c>
      <c r="B5">
        <v>7.0000000000000001E-3</v>
      </c>
      <c r="C5">
        <v>0.61799999999999999</v>
      </c>
      <c r="D5">
        <v>1</v>
      </c>
      <c r="E5">
        <v>0.188</v>
      </c>
      <c r="F5">
        <v>0.01</v>
      </c>
    </row>
    <row r="6" spans="1:6">
      <c r="A6">
        <v>1982</v>
      </c>
      <c r="B6">
        <v>7.0000000000000001E-3</v>
      </c>
      <c r="C6">
        <v>0.61799999999999999</v>
      </c>
      <c r="D6">
        <v>1</v>
      </c>
      <c r="E6">
        <v>0.188</v>
      </c>
      <c r="F6">
        <v>0.01</v>
      </c>
    </row>
    <row r="7" spans="1:6">
      <c r="A7">
        <v>1983</v>
      </c>
      <c r="B7">
        <v>7.0000000000000001E-3</v>
      </c>
      <c r="C7">
        <v>0.61799999999999999</v>
      </c>
      <c r="D7">
        <v>1</v>
      </c>
      <c r="E7">
        <v>0.188</v>
      </c>
      <c r="F7">
        <v>0.01</v>
      </c>
    </row>
    <row r="8" spans="1:6">
      <c r="A8">
        <v>1984</v>
      </c>
      <c r="B8">
        <v>7.0000000000000001E-3</v>
      </c>
      <c r="C8">
        <v>0.61799999999999999</v>
      </c>
      <c r="D8">
        <v>1</v>
      </c>
      <c r="E8">
        <v>0.188</v>
      </c>
      <c r="F8">
        <v>0.01</v>
      </c>
    </row>
    <row r="9" spans="1:6">
      <c r="A9">
        <v>1985</v>
      </c>
      <c r="B9">
        <v>7.0000000000000001E-3</v>
      </c>
      <c r="C9">
        <v>0.61799999999999999</v>
      </c>
      <c r="D9">
        <v>1</v>
      </c>
      <c r="E9">
        <v>0.188</v>
      </c>
      <c r="F9">
        <v>0.01</v>
      </c>
    </row>
    <row r="10" spans="1:6">
      <c r="A10">
        <v>1986</v>
      </c>
      <c r="B10">
        <v>7.0000000000000001E-3</v>
      </c>
      <c r="C10">
        <v>0.61799999999999999</v>
      </c>
      <c r="D10">
        <v>1</v>
      </c>
      <c r="E10">
        <v>0.188</v>
      </c>
      <c r="F10">
        <v>0.01</v>
      </c>
    </row>
    <row r="11" spans="1:6">
      <c r="A11">
        <v>1987</v>
      </c>
      <c r="B11">
        <v>7.0000000000000001E-3</v>
      </c>
      <c r="C11">
        <v>0.61799999999999999</v>
      </c>
      <c r="D11">
        <v>1</v>
      </c>
      <c r="E11">
        <v>0.188</v>
      </c>
      <c r="F11">
        <v>0.01</v>
      </c>
    </row>
    <row r="12" spans="1:6">
      <c r="A12">
        <v>1988</v>
      </c>
      <c r="B12">
        <v>7.0000000000000001E-3</v>
      </c>
      <c r="C12">
        <v>0.61799999999999999</v>
      </c>
      <c r="D12">
        <v>1</v>
      </c>
      <c r="E12">
        <v>0.188</v>
      </c>
      <c r="F12">
        <v>0.01</v>
      </c>
    </row>
    <row r="13" spans="1:6">
      <c r="A13">
        <v>1989</v>
      </c>
      <c r="B13">
        <v>7.0000000000000001E-3</v>
      </c>
      <c r="C13">
        <v>0.61799999999999999</v>
      </c>
      <c r="D13">
        <v>1</v>
      </c>
      <c r="E13">
        <v>0.188</v>
      </c>
      <c r="F13">
        <v>0.01</v>
      </c>
    </row>
    <row r="14" spans="1:6">
      <c r="A14">
        <v>1990</v>
      </c>
      <c r="B14">
        <v>7.0000000000000001E-3</v>
      </c>
      <c r="C14">
        <v>0.61799999999999999</v>
      </c>
      <c r="D14">
        <v>1</v>
      </c>
      <c r="E14">
        <v>0.188</v>
      </c>
      <c r="F14">
        <v>0.01</v>
      </c>
    </row>
    <row r="15" spans="1:6">
      <c r="A15">
        <v>1991</v>
      </c>
      <c r="B15">
        <v>7.0000000000000001E-3</v>
      </c>
      <c r="C15">
        <v>0.61799999999999999</v>
      </c>
      <c r="D15">
        <v>1</v>
      </c>
      <c r="E15">
        <v>0.188</v>
      </c>
      <c r="F15">
        <v>0.01</v>
      </c>
    </row>
    <row r="16" spans="1:6">
      <c r="A16">
        <v>1992</v>
      </c>
      <c r="B16">
        <v>7.0000000000000001E-3</v>
      </c>
      <c r="C16">
        <v>0.61799999999999999</v>
      </c>
      <c r="D16">
        <v>1</v>
      </c>
      <c r="E16">
        <v>0.188</v>
      </c>
      <c r="F16">
        <v>0.01</v>
      </c>
    </row>
    <row r="17" spans="1:6">
      <c r="A17">
        <v>1993</v>
      </c>
      <c r="B17">
        <v>7.0000000000000001E-3</v>
      </c>
      <c r="C17">
        <v>0.61799999999999999</v>
      </c>
      <c r="D17">
        <v>1</v>
      </c>
      <c r="E17">
        <v>0.188</v>
      </c>
      <c r="F17">
        <v>0.01</v>
      </c>
    </row>
    <row r="18" spans="1:6">
      <c r="A18">
        <v>1994</v>
      </c>
      <c r="B18">
        <v>7.0000000000000001E-3</v>
      </c>
      <c r="C18">
        <v>0.61799999999999999</v>
      </c>
      <c r="D18">
        <v>1</v>
      </c>
      <c r="E18">
        <v>0.188</v>
      </c>
      <c r="F18">
        <v>0.01</v>
      </c>
    </row>
    <row r="19" spans="1:6">
      <c r="A19">
        <v>1995</v>
      </c>
      <c r="B19">
        <v>7.0000000000000001E-3</v>
      </c>
      <c r="C19">
        <v>0.61799999999999999</v>
      </c>
      <c r="D19">
        <v>1</v>
      </c>
      <c r="E19">
        <v>0.188</v>
      </c>
      <c r="F19">
        <v>0.01</v>
      </c>
    </row>
    <row r="20" spans="1:6">
      <c r="A20">
        <v>1996</v>
      </c>
      <c r="B20">
        <v>7.0000000000000001E-3</v>
      </c>
      <c r="C20">
        <v>0.61799999999999999</v>
      </c>
      <c r="D20">
        <v>1</v>
      </c>
      <c r="E20">
        <v>0.188</v>
      </c>
      <c r="F20">
        <v>0.01</v>
      </c>
    </row>
    <row r="21" spans="1:6">
      <c r="A21">
        <v>1997</v>
      </c>
      <c r="B21">
        <v>7.0000000000000001E-3</v>
      </c>
      <c r="C21">
        <v>0.61799999999999999</v>
      </c>
      <c r="D21">
        <v>1</v>
      </c>
      <c r="E21">
        <v>0.188</v>
      </c>
      <c r="F21">
        <v>0.01</v>
      </c>
    </row>
    <row r="22" spans="1:6">
      <c r="A22">
        <v>1998</v>
      </c>
      <c r="B22">
        <v>7.0000000000000001E-3</v>
      </c>
      <c r="C22">
        <v>0.61799999999999999</v>
      </c>
      <c r="D22">
        <v>1</v>
      </c>
      <c r="E22">
        <v>0.188</v>
      </c>
      <c r="F22">
        <v>0.01</v>
      </c>
    </row>
    <row r="23" spans="1:6">
      <c r="A23">
        <v>1999</v>
      </c>
      <c r="B23">
        <v>7.0000000000000001E-3</v>
      </c>
      <c r="C23">
        <v>0.61799999999999999</v>
      </c>
      <c r="D23">
        <v>1</v>
      </c>
      <c r="E23">
        <v>0.188</v>
      </c>
      <c r="F23">
        <v>0.01</v>
      </c>
    </row>
    <row r="24" spans="1:6">
      <c r="A24">
        <v>2001</v>
      </c>
      <c r="B24">
        <v>7.0000000000000001E-3</v>
      </c>
      <c r="C24">
        <v>0.61799999999999999</v>
      </c>
      <c r="D24">
        <v>1</v>
      </c>
      <c r="E24">
        <v>0.188</v>
      </c>
      <c r="F24">
        <v>0.01</v>
      </c>
    </row>
    <row r="25" spans="1:6">
      <c r="A25">
        <v>2002</v>
      </c>
      <c r="B25">
        <v>7.0000000000000001E-3</v>
      </c>
      <c r="C25">
        <v>0.61799999999999999</v>
      </c>
      <c r="D25">
        <v>1</v>
      </c>
      <c r="E25">
        <v>0.188</v>
      </c>
      <c r="F25">
        <v>0.01</v>
      </c>
    </row>
    <row r="26" spans="1:6">
      <c r="A26">
        <v>2003</v>
      </c>
      <c r="B26">
        <v>7.0000000000000001E-3</v>
      </c>
      <c r="C26">
        <v>0.61799999999999999</v>
      </c>
      <c r="D26">
        <v>1</v>
      </c>
      <c r="E26">
        <v>0.188</v>
      </c>
      <c r="F26">
        <v>0.01</v>
      </c>
    </row>
    <row r="27" spans="1:6">
      <c r="A27">
        <v>2004</v>
      </c>
      <c r="B27">
        <v>7.0000000000000001E-3</v>
      </c>
      <c r="C27">
        <v>0.61799999999999999</v>
      </c>
      <c r="D27">
        <v>1</v>
      </c>
      <c r="E27">
        <v>0.188</v>
      </c>
      <c r="F27">
        <v>0.01</v>
      </c>
    </row>
    <row r="28" spans="1:6">
      <c r="A28">
        <v>2005</v>
      </c>
      <c r="B28">
        <v>7.0000000000000001E-3</v>
      </c>
      <c r="C28">
        <v>0.61799999999999999</v>
      </c>
      <c r="D28">
        <v>1</v>
      </c>
      <c r="E28">
        <v>0.188</v>
      </c>
      <c r="F28">
        <v>0.01</v>
      </c>
    </row>
    <row r="29" spans="1:6">
      <c r="A29">
        <v>2006</v>
      </c>
      <c r="B29">
        <v>7.0000000000000001E-3</v>
      </c>
      <c r="C29">
        <v>0.61799999999999999</v>
      </c>
      <c r="D29">
        <v>1</v>
      </c>
      <c r="E29">
        <v>0.188</v>
      </c>
      <c r="F29">
        <v>0.01</v>
      </c>
    </row>
    <row r="49" spans="1:7">
      <c r="A49" t="str">
        <f>'Titles and Variables'!C17</f>
        <v>BRA_LL</v>
      </c>
      <c r="B49" t="s">
        <v>61</v>
      </c>
    </row>
    <row r="50" spans="1:7">
      <c r="A50" t="s">
        <v>70</v>
      </c>
      <c r="B50" t="s">
        <v>71</v>
      </c>
      <c r="C50" t="s">
        <v>72</v>
      </c>
    </row>
    <row r="51" spans="1:7">
      <c r="A51" t="s">
        <v>68</v>
      </c>
      <c r="B51">
        <v>0</v>
      </c>
      <c r="C51">
        <v>1</v>
      </c>
      <c r="D51">
        <v>2</v>
      </c>
      <c r="E51">
        <v>3</v>
      </c>
      <c r="F51">
        <v>4</v>
      </c>
      <c r="G51">
        <v>5</v>
      </c>
    </row>
    <row r="52" spans="1:7">
      <c r="A52" t="s">
        <v>69</v>
      </c>
      <c r="B52" t="s">
        <v>73</v>
      </c>
      <c r="C52" t="s">
        <v>73</v>
      </c>
      <c r="D52" t="s">
        <v>73</v>
      </c>
      <c r="E52" t="s">
        <v>73</v>
      </c>
      <c r="F52" t="s">
        <v>73</v>
      </c>
      <c r="G52" t="s">
        <v>73</v>
      </c>
    </row>
    <row r="53" spans="1:7">
      <c r="A53">
        <v>1986</v>
      </c>
      <c r="B53">
        <v>1.4E-2</v>
      </c>
      <c r="C53">
        <v>0.17699999999999999</v>
      </c>
      <c r="D53">
        <v>0.43</v>
      </c>
      <c r="E53">
        <v>1</v>
      </c>
      <c r="F53">
        <v>0.61</v>
      </c>
      <c r="G53">
        <v>0.19400000000000001</v>
      </c>
    </row>
    <row r="54" spans="1:7">
      <c r="A54">
        <v>1987</v>
      </c>
      <c r="B54">
        <v>1.4E-2</v>
      </c>
      <c r="C54">
        <v>0.17699999999999999</v>
      </c>
      <c r="D54">
        <v>0.43</v>
      </c>
      <c r="E54">
        <v>1</v>
      </c>
      <c r="F54">
        <v>0.61</v>
      </c>
      <c r="G54">
        <v>0.19400000000000001</v>
      </c>
    </row>
    <row r="55" spans="1:7">
      <c r="A55">
        <v>1988</v>
      </c>
      <c r="B55">
        <v>1.4E-2</v>
      </c>
      <c r="C55">
        <v>0.17699999999999999</v>
      </c>
      <c r="D55">
        <v>0.43</v>
      </c>
      <c r="E55">
        <v>1</v>
      </c>
      <c r="F55">
        <v>0.61</v>
      </c>
      <c r="G55">
        <v>0.19400000000000001</v>
      </c>
    </row>
    <row r="56" spans="1:7">
      <c r="A56">
        <v>1989</v>
      </c>
      <c r="B56">
        <v>1.4E-2</v>
      </c>
      <c r="C56">
        <v>0.17699999999999999</v>
      </c>
      <c r="D56">
        <v>0.43</v>
      </c>
      <c r="E56">
        <v>1</v>
      </c>
      <c r="F56">
        <v>0.61</v>
      </c>
      <c r="G56">
        <v>0.19400000000000001</v>
      </c>
    </row>
    <row r="57" spans="1:7">
      <c r="A57">
        <v>1990</v>
      </c>
      <c r="B57">
        <v>1.4E-2</v>
      </c>
      <c r="C57">
        <v>0.17699999999999999</v>
      </c>
      <c r="D57">
        <v>0.43</v>
      </c>
      <c r="E57">
        <v>1</v>
      </c>
      <c r="F57">
        <v>0.61</v>
      </c>
      <c r="G57">
        <v>0.19400000000000001</v>
      </c>
    </row>
    <row r="58" spans="1:7">
      <c r="A58">
        <v>1991</v>
      </c>
      <c r="B58">
        <v>1.4E-2</v>
      </c>
      <c r="C58">
        <v>0.17699999999999999</v>
      </c>
      <c r="D58">
        <v>0.43</v>
      </c>
      <c r="E58">
        <v>1</v>
      </c>
      <c r="F58">
        <v>0.61</v>
      </c>
      <c r="G58">
        <v>0.19400000000000001</v>
      </c>
    </row>
    <row r="59" spans="1:7">
      <c r="A59">
        <v>1992</v>
      </c>
      <c r="B59">
        <v>1.4E-2</v>
      </c>
      <c r="C59">
        <v>0.17699999999999999</v>
      </c>
      <c r="D59">
        <v>0.43</v>
      </c>
      <c r="E59">
        <v>1</v>
      </c>
      <c r="F59">
        <v>0.61</v>
      </c>
      <c r="G59">
        <v>0.19400000000000001</v>
      </c>
    </row>
    <row r="60" spans="1:7">
      <c r="A60">
        <v>1993</v>
      </c>
      <c r="B60">
        <v>1.4E-2</v>
      </c>
      <c r="C60">
        <v>0.17699999999999999</v>
      </c>
      <c r="D60">
        <v>0.43</v>
      </c>
      <c r="E60">
        <v>1</v>
      </c>
      <c r="F60">
        <v>0.61</v>
      </c>
      <c r="G60">
        <v>0.19400000000000001</v>
      </c>
    </row>
    <row r="61" spans="1:7">
      <c r="A61">
        <v>1994</v>
      </c>
      <c r="B61">
        <v>1.4E-2</v>
      </c>
      <c r="C61">
        <v>0.17699999999999999</v>
      </c>
      <c r="D61">
        <v>0.43</v>
      </c>
      <c r="E61">
        <v>1</v>
      </c>
      <c r="F61">
        <v>0.61</v>
      </c>
      <c r="G61">
        <v>0.19400000000000001</v>
      </c>
    </row>
    <row r="62" spans="1:7">
      <c r="A62">
        <v>1995</v>
      </c>
      <c r="B62">
        <v>1.4E-2</v>
      </c>
      <c r="C62">
        <v>0.17699999999999999</v>
      </c>
      <c r="D62">
        <v>0.43</v>
      </c>
      <c r="E62">
        <v>1</v>
      </c>
      <c r="F62">
        <v>0.61</v>
      </c>
      <c r="G62">
        <v>0.19400000000000001</v>
      </c>
    </row>
    <row r="63" spans="1:7">
      <c r="A63">
        <v>1996</v>
      </c>
      <c r="B63">
        <v>1.4E-2</v>
      </c>
      <c r="C63">
        <v>0.17699999999999999</v>
      </c>
      <c r="D63">
        <v>0.43</v>
      </c>
      <c r="E63">
        <v>1</v>
      </c>
      <c r="F63">
        <v>0.61</v>
      </c>
      <c r="G63">
        <v>0.19400000000000001</v>
      </c>
    </row>
    <row r="64" spans="1:7">
      <c r="A64">
        <v>1997</v>
      </c>
      <c r="B64">
        <v>1.4E-2</v>
      </c>
      <c r="C64">
        <v>0.17699999999999999</v>
      </c>
      <c r="D64">
        <v>0.43</v>
      </c>
      <c r="E64">
        <v>1</v>
      </c>
      <c r="F64">
        <v>0.61</v>
      </c>
      <c r="G64">
        <v>0.19400000000000001</v>
      </c>
    </row>
    <row r="65" spans="1:7">
      <c r="A65">
        <v>1998</v>
      </c>
      <c r="B65">
        <v>1.4E-2</v>
      </c>
      <c r="C65">
        <v>0.17699999999999999</v>
      </c>
      <c r="D65">
        <v>0.43</v>
      </c>
      <c r="E65">
        <v>1</v>
      </c>
      <c r="F65">
        <v>0.61</v>
      </c>
      <c r="G65">
        <v>0.19400000000000001</v>
      </c>
    </row>
    <row r="66" spans="1:7">
      <c r="A66">
        <v>1999</v>
      </c>
      <c r="B66">
        <v>1.4E-2</v>
      </c>
      <c r="C66">
        <v>0.17699999999999999</v>
      </c>
      <c r="D66">
        <v>0.43</v>
      </c>
      <c r="E66">
        <v>1</v>
      </c>
      <c r="F66">
        <v>0.61</v>
      </c>
      <c r="G66">
        <v>0.19400000000000001</v>
      </c>
    </row>
    <row r="67" spans="1:7">
      <c r="A67">
        <v>2000</v>
      </c>
      <c r="B67">
        <v>1.4E-2</v>
      </c>
      <c r="C67">
        <v>0.17699999999999999</v>
      </c>
      <c r="D67">
        <v>0.43</v>
      </c>
      <c r="E67">
        <v>1</v>
      </c>
      <c r="F67">
        <v>0.61</v>
      </c>
      <c r="G67">
        <v>0.19400000000000001</v>
      </c>
    </row>
    <row r="68" spans="1:7">
      <c r="A68">
        <v>2001</v>
      </c>
      <c r="B68">
        <v>1.4E-2</v>
      </c>
      <c r="C68">
        <v>0.17699999999999999</v>
      </c>
      <c r="D68">
        <v>0.43</v>
      </c>
      <c r="E68">
        <v>1</v>
      </c>
      <c r="F68">
        <v>0.61</v>
      </c>
      <c r="G68">
        <v>0.19400000000000001</v>
      </c>
    </row>
    <row r="69" spans="1:7">
      <c r="A69">
        <v>2002</v>
      </c>
      <c r="B69">
        <v>1.4E-2</v>
      </c>
      <c r="C69">
        <v>0.17699999999999999</v>
      </c>
      <c r="D69">
        <v>0.43</v>
      </c>
      <c r="E69">
        <v>1</v>
      </c>
      <c r="F69">
        <v>0.61</v>
      </c>
      <c r="G69">
        <v>0.19400000000000001</v>
      </c>
    </row>
    <row r="70" spans="1:7">
      <c r="A70">
        <v>2003</v>
      </c>
      <c r="B70">
        <v>1.4E-2</v>
      </c>
      <c r="C70">
        <v>0.17699999999999999</v>
      </c>
      <c r="D70">
        <v>0.43</v>
      </c>
      <c r="E70">
        <v>1</v>
      </c>
      <c r="F70">
        <v>0.61</v>
      </c>
      <c r="G70">
        <v>0.19400000000000001</v>
      </c>
    </row>
    <row r="71" spans="1:7">
      <c r="A71">
        <v>2004</v>
      </c>
      <c r="B71">
        <v>1.4E-2</v>
      </c>
      <c r="C71">
        <v>0.17699999999999999</v>
      </c>
      <c r="D71">
        <v>0.43</v>
      </c>
      <c r="E71">
        <v>1</v>
      </c>
      <c r="F71">
        <v>0.61</v>
      </c>
      <c r="G71">
        <v>0.19400000000000001</v>
      </c>
    </row>
    <row r="72" spans="1:7">
      <c r="A72">
        <v>2005</v>
      </c>
      <c r="B72">
        <v>1.4E-2</v>
      </c>
      <c r="C72">
        <v>0.17699999999999999</v>
      </c>
      <c r="D72">
        <v>0.43</v>
      </c>
      <c r="E72">
        <v>1</v>
      </c>
      <c r="F72">
        <v>0.61</v>
      </c>
      <c r="G72">
        <v>0.19400000000000001</v>
      </c>
    </row>
    <row r="73" spans="1:7">
      <c r="A73">
        <v>2006</v>
      </c>
      <c r="B73">
        <v>1.4E-2</v>
      </c>
      <c r="C73">
        <v>0.17699999999999999</v>
      </c>
      <c r="D73">
        <v>0.43</v>
      </c>
      <c r="E73">
        <v>1</v>
      </c>
      <c r="F73">
        <v>0.61</v>
      </c>
      <c r="G73">
        <v>0.19400000000000001</v>
      </c>
    </row>
    <row r="99" spans="1:7">
      <c r="A99" t="str">
        <f>'Titles and Variables'!C18</f>
        <v>JPN_LL</v>
      </c>
      <c r="B99" t="s">
        <v>61</v>
      </c>
    </row>
    <row r="100" spans="1:7">
      <c r="A100" t="s">
        <v>70</v>
      </c>
      <c r="B100" t="s">
        <v>71</v>
      </c>
      <c r="C100" t="s">
        <v>72</v>
      </c>
    </row>
    <row r="101" spans="1:7">
      <c r="A101" t="s">
        <v>68</v>
      </c>
      <c r="B101">
        <v>0</v>
      </c>
      <c r="C101">
        <v>1</v>
      </c>
      <c r="D101">
        <v>2</v>
      </c>
      <c r="E101">
        <v>3</v>
      </c>
      <c r="F101">
        <v>4</v>
      </c>
      <c r="G101">
        <v>5</v>
      </c>
    </row>
    <row r="102" spans="1:7">
      <c r="A102" t="s">
        <v>69</v>
      </c>
      <c r="B102" t="s">
        <v>73</v>
      </c>
      <c r="C102" t="s">
        <v>73</v>
      </c>
      <c r="D102" t="s">
        <v>73</v>
      </c>
      <c r="E102" t="s">
        <v>73</v>
      </c>
      <c r="F102" t="s">
        <v>73</v>
      </c>
      <c r="G102" t="s">
        <v>73</v>
      </c>
    </row>
    <row r="103" spans="1:7">
      <c r="A103">
        <v>1970</v>
      </c>
      <c r="B103">
        <v>0</v>
      </c>
      <c r="C103">
        <v>3.0000000000000001E-3</v>
      </c>
      <c r="D103">
        <v>0.22800000000000001</v>
      </c>
      <c r="E103">
        <v>1</v>
      </c>
      <c r="F103">
        <v>0.96499999999999997</v>
      </c>
      <c r="G103">
        <v>0.20799999999999999</v>
      </c>
    </row>
    <row r="104" spans="1:7">
      <c r="A104">
        <v>1971</v>
      </c>
      <c r="B104">
        <v>0</v>
      </c>
      <c r="C104">
        <v>3.0000000000000001E-3</v>
      </c>
      <c r="D104">
        <v>0.22800000000000001</v>
      </c>
      <c r="E104">
        <v>1</v>
      </c>
      <c r="F104">
        <v>0.96499999999999997</v>
      </c>
      <c r="G104">
        <v>0.20799999999999999</v>
      </c>
    </row>
    <row r="105" spans="1:7">
      <c r="A105">
        <v>1972</v>
      </c>
      <c r="B105">
        <v>0</v>
      </c>
      <c r="C105">
        <v>3.0000000000000001E-3</v>
      </c>
      <c r="D105">
        <v>0.22800000000000001</v>
      </c>
      <c r="E105">
        <v>1</v>
      </c>
      <c r="F105">
        <v>0.96499999999999997</v>
      </c>
      <c r="G105">
        <v>0.20799999999999999</v>
      </c>
    </row>
    <row r="106" spans="1:7">
      <c r="A106">
        <v>1973</v>
      </c>
      <c r="B106">
        <v>0</v>
      </c>
      <c r="C106">
        <v>3.0000000000000001E-3</v>
      </c>
      <c r="D106">
        <v>0.22800000000000001</v>
      </c>
      <c r="E106">
        <v>1</v>
      </c>
      <c r="F106">
        <v>0.96499999999999997</v>
      </c>
      <c r="G106">
        <v>0.20799999999999999</v>
      </c>
    </row>
    <row r="107" spans="1:7">
      <c r="A107">
        <v>1974</v>
      </c>
      <c r="B107">
        <v>0</v>
      </c>
      <c r="C107">
        <v>3.0000000000000001E-3</v>
      </c>
      <c r="D107">
        <v>0.22800000000000001</v>
      </c>
      <c r="E107">
        <v>1</v>
      </c>
      <c r="F107">
        <v>0.96499999999999997</v>
      </c>
      <c r="G107">
        <v>0.20799999999999999</v>
      </c>
    </row>
    <row r="108" spans="1:7">
      <c r="A108">
        <v>1975</v>
      </c>
      <c r="B108">
        <v>0</v>
      </c>
      <c r="C108">
        <v>3.0000000000000001E-3</v>
      </c>
      <c r="D108">
        <v>0.22800000000000001</v>
      </c>
      <c r="E108">
        <v>1</v>
      </c>
      <c r="F108">
        <v>0.96499999999999997</v>
      </c>
      <c r="G108">
        <v>0.20799999999999999</v>
      </c>
    </row>
    <row r="109" spans="1:7">
      <c r="A109">
        <v>1976</v>
      </c>
      <c r="B109">
        <v>0</v>
      </c>
      <c r="C109">
        <v>3.0000000000000001E-3</v>
      </c>
      <c r="D109">
        <v>0.22800000000000001</v>
      </c>
      <c r="E109">
        <v>1</v>
      </c>
      <c r="F109">
        <v>0.96499999999999997</v>
      </c>
      <c r="G109">
        <v>0.20799999999999999</v>
      </c>
    </row>
    <row r="110" spans="1:7">
      <c r="A110">
        <v>1977</v>
      </c>
      <c r="B110">
        <v>0</v>
      </c>
      <c r="C110">
        <v>3.0000000000000001E-3</v>
      </c>
      <c r="D110">
        <v>0.22800000000000001</v>
      </c>
      <c r="E110">
        <v>1</v>
      </c>
      <c r="F110">
        <v>0.96499999999999997</v>
      </c>
      <c r="G110">
        <v>0.20799999999999999</v>
      </c>
    </row>
    <row r="111" spans="1:7">
      <c r="A111">
        <v>1978</v>
      </c>
      <c r="B111">
        <v>0</v>
      </c>
      <c r="C111">
        <v>3.0000000000000001E-3</v>
      </c>
      <c r="D111">
        <v>0.22800000000000001</v>
      </c>
      <c r="E111">
        <v>1</v>
      </c>
      <c r="F111">
        <v>0.96499999999999997</v>
      </c>
      <c r="G111">
        <v>0.20799999999999999</v>
      </c>
    </row>
    <row r="112" spans="1:7">
      <c r="A112">
        <v>1979</v>
      </c>
      <c r="B112">
        <v>0</v>
      </c>
      <c r="C112">
        <v>3.0000000000000001E-3</v>
      </c>
      <c r="D112">
        <v>0.22800000000000001</v>
      </c>
      <c r="E112">
        <v>1</v>
      </c>
      <c r="F112">
        <v>0.96499999999999997</v>
      </c>
      <c r="G112">
        <v>0.20799999999999999</v>
      </c>
    </row>
    <row r="113" spans="1:7">
      <c r="A113">
        <v>1980</v>
      </c>
      <c r="B113">
        <v>0</v>
      </c>
      <c r="C113">
        <v>3.0000000000000001E-3</v>
      </c>
      <c r="D113">
        <v>0.22800000000000001</v>
      </c>
      <c r="E113">
        <v>1</v>
      </c>
      <c r="F113">
        <v>0.96499999999999997</v>
      </c>
      <c r="G113">
        <v>0.20799999999999999</v>
      </c>
    </row>
    <row r="114" spans="1:7">
      <c r="A114">
        <v>1981</v>
      </c>
      <c r="B114">
        <v>0</v>
      </c>
      <c r="C114">
        <v>3.0000000000000001E-3</v>
      </c>
      <c r="D114">
        <v>0.22800000000000001</v>
      </c>
      <c r="E114">
        <v>1</v>
      </c>
      <c r="F114">
        <v>0.96499999999999997</v>
      </c>
      <c r="G114">
        <v>0.20799999999999999</v>
      </c>
    </row>
    <row r="115" spans="1:7">
      <c r="A115">
        <v>1982</v>
      </c>
      <c r="B115">
        <v>0</v>
      </c>
      <c r="C115">
        <v>3.0000000000000001E-3</v>
      </c>
      <c r="D115">
        <v>0.22800000000000001</v>
      </c>
      <c r="E115">
        <v>1</v>
      </c>
      <c r="F115">
        <v>0.96499999999999997</v>
      </c>
      <c r="G115">
        <v>0.20799999999999999</v>
      </c>
    </row>
    <row r="116" spans="1:7">
      <c r="A116">
        <v>1983</v>
      </c>
      <c r="B116">
        <v>0</v>
      </c>
      <c r="C116">
        <v>3.0000000000000001E-3</v>
      </c>
      <c r="D116">
        <v>0.22800000000000001</v>
      </c>
      <c r="E116">
        <v>1</v>
      </c>
      <c r="F116">
        <v>0.96499999999999997</v>
      </c>
      <c r="G116">
        <v>0.20799999999999999</v>
      </c>
    </row>
    <row r="117" spans="1:7">
      <c r="A117">
        <v>1984</v>
      </c>
      <c r="B117">
        <v>0</v>
      </c>
      <c r="C117">
        <v>3.0000000000000001E-3</v>
      </c>
      <c r="D117">
        <v>0.22800000000000001</v>
      </c>
      <c r="E117">
        <v>1</v>
      </c>
      <c r="F117">
        <v>0.96499999999999997</v>
      </c>
      <c r="G117">
        <v>0.20799999999999999</v>
      </c>
    </row>
    <row r="118" spans="1:7">
      <c r="A118">
        <v>1985</v>
      </c>
      <c r="B118">
        <v>0</v>
      </c>
      <c r="C118">
        <v>3.0000000000000001E-3</v>
      </c>
      <c r="D118">
        <v>0.22800000000000001</v>
      </c>
      <c r="E118">
        <v>1</v>
      </c>
      <c r="F118">
        <v>0.96499999999999997</v>
      </c>
      <c r="G118">
        <v>0.20799999999999999</v>
      </c>
    </row>
    <row r="119" spans="1:7">
      <c r="A119">
        <v>1986</v>
      </c>
      <c r="B119">
        <v>0</v>
      </c>
      <c r="C119">
        <v>3.0000000000000001E-3</v>
      </c>
      <c r="D119">
        <v>0.22800000000000001</v>
      </c>
      <c r="E119">
        <v>1</v>
      </c>
      <c r="F119">
        <v>0.96499999999999997</v>
      </c>
      <c r="G119">
        <v>0.20799999999999999</v>
      </c>
    </row>
    <row r="120" spans="1:7">
      <c r="A120">
        <v>1987</v>
      </c>
      <c r="B120">
        <v>0</v>
      </c>
      <c r="C120">
        <v>3.0000000000000001E-3</v>
      </c>
      <c r="D120">
        <v>0.22800000000000001</v>
      </c>
      <c r="E120">
        <v>1</v>
      </c>
      <c r="F120">
        <v>0.96499999999999997</v>
      </c>
      <c r="G120">
        <v>0.20799999999999999</v>
      </c>
    </row>
    <row r="121" spans="1:7">
      <c r="A121">
        <v>1988</v>
      </c>
      <c r="B121">
        <v>0</v>
      </c>
      <c r="C121">
        <v>3.0000000000000001E-3</v>
      </c>
      <c r="D121">
        <v>0.22800000000000001</v>
      </c>
      <c r="E121">
        <v>1</v>
      </c>
      <c r="F121">
        <v>0.96499999999999997</v>
      </c>
      <c r="G121">
        <v>0.20799999999999999</v>
      </c>
    </row>
    <row r="122" spans="1:7">
      <c r="A122">
        <v>1989</v>
      </c>
      <c r="B122">
        <v>0</v>
      </c>
      <c r="C122">
        <v>3.0000000000000001E-3</v>
      </c>
      <c r="D122">
        <v>0.22800000000000001</v>
      </c>
      <c r="E122">
        <v>1</v>
      </c>
      <c r="F122">
        <v>0.96499999999999997</v>
      </c>
      <c r="G122">
        <v>0.20799999999999999</v>
      </c>
    </row>
    <row r="123" spans="1:7">
      <c r="A123">
        <v>1990</v>
      </c>
      <c r="B123">
        <v>0</v>
      </c>
      <c r="C123">
        <v>3.0000000000000001E-3</v>
      </c>
      <c r="D123">
        <v>0.22800000000000001</v>
      </c>
      <c r="E123">
        <v>1</v>
      </c>
      <c r="F123">
        <v>0.96499999999999997</v>
      </c>
      <c r="G123">
        <v>0.20799999999999999</v>
      </c>
    </row>
    <row r="124" spans="1:7">
      <c r="A124">
        <v>1991</v>
      </c>
      <c r="B124">
        <v>0</v>
      </c>
      <c r="C124">
        <v>3.0000000000000001E-3</v>
      </c>
      <c r="D124">
        <v>0.22800000000000001</v>
      </c>
      <c r="E124">
        <v>1</v>
      </c>
      <c r="F124">
        <v>0.96499999999999997</v>
      </c>
      <c r="G124">
        <v>0.20799999999999999</v>
      </c>
    </row>
    <row r="125" spans="1:7">
      <c r="A125">
        <v>1992</v>
      </c>
      <c r="B125">
        <v>0</v>
      </c>
      <c r="C125">
        <v>3.0000000000000001E-3</v>
      </c>
      <c r="D125">
        <v>0.22800000000000001</v>
      </c>
      <c r="E125">
        <v>1</v>
      </c>
      <c r="F125">
        <v>0.96499999999999997</v>
      </c>
      <c r="G125">
        <v>0.20799999999999999</v>
      </c>
    </row>
    <row r="126" spans="1:7">
      <c r="A126">
        <v>1993</v>
      </c>
      <c r="B126">
        <v>0</v>
      </c>
      <c r="C126">
        <v>3.0000000000000001E-3</v>
      </c>
      <c r="D126">
        <v>0.22800000000000001</v>
      </c>
      <c r="E126">
        <v>1</v>
      </c>
      <c r="F126">
        <v>0.96499999999999997</v>
      </c>
      <c r="G126">
        <v>0.20799999999999999</v>
      </c>
    </row>
    <row r="127" spans="1:7">
      <c r="A127">
        <v>1994</v>
      </c>
      <c r="B127">
        <v>0</v>
      </c>
      <c r="C127">
        <v>3.0000000000000001E-3</v>
      </c>
      <c r="D127">
        <v>0.22800000000000001</v>
      </c>
      <c r="E127">
        <v>1</v>
      </c>
      <c r="F127">
        <v>0.96499999999999997</v>
      </c>
      <c r="G127">
        <v>0.20799999999999999</v>
      </c>
    </row>
    <row r="128" spans="1:7">
      <c r="A128">
        <v>1995</v>
      </c>
      <c r="B128">
        <v>0</v>
      </c>
      <c r="C128">
        <v>3.0000000000000001E-3</v>
      </c>
      <c r="D128">
        <v>0.22800000000000001</v>
      </c>
      <c r="E128">
        <v>1</v>
      </c>
      <c r="F128">
        <v>0.96499999999999997</v>
      </c>
      <c r="G128">
        <v>0.20799999999999999</v>
      </c>
    </row>
    <row r="129" spans="1:7">
      <c r="A129">
        <v>1996</v>
      </c>
      <c r="B129">
        <v>0</v>
      </c>
      <c r="C129">
        <v>3.0000000000000001E-3</v>
      </c>
      <c r="D129">
        <v>0.22800000000000001</v>
      </c>
      <c r="E129">
        <v>1</v>
      </c>
      <c r="F129">
        <v>0.96499999999999997</v>
      </c>
      <c r="G129">
        <v>0.20799999999999999</v>
      </c>
    </row>
    <row r="130" spans="1:7">
      <c r="A130">
        <v>1997</v>
      </c>
      <c r="B130">
        <v>0</v>
      </c>
      <c r="C130">
        <v>3.0000000000000001E-3</v>
      </c>
      <c r="D130">
        <v>0.22800000000000001</v>
      </c>
      <c r="E130">
        <v>1</v>
      </c>
      <c r="F130">
        <v>0.96499999999999997</v>
      </c>
      <c r="G130">
        <v>0.20799999999999999</v>
      </c>
    </row>
    <row r="131" spans="1:7">
      <c r="A131">
        <v>1998</v>
      </c>
      <c r="B131">
        <v>0</v>
      </c>
      <c r="C131">
        <v>3.0000000000000001E-3</v>
      </c>
      <c r="D131">
        <v>0.22800000000000001</v>
      </c>
      <c r="E131">
        <v>1</v>
      </c>
      <c r="F131">
        <v>0.96499999999999997</v>
      </c>
      <c r="G131">
        <v>0.20799999999999999</v>
      </c>
    </row>
    <row r="132" spans="1:7">
      <c r="A132">
        <v>1999</v>
      </c>
      <c r="B132">
        <v>0</v>
      </c>
      <c r="C132">
        <v>3.0000000000000001E-3</v>
      </c>
      <c r="D132">
        <v>0.22800000000000001</v>
      </c>
      <c r="E132">
        <v>1</v>
      </c>
      <c r="F132">
        <v>0.96499999999999997</v>
      </c>
      <c r="G132">
        <v>0.20799999999999999</v>
      </c>
    </row>
    <row r="133" spans="1:7">
      <c r="A133">
        <v>2000</v>
      </c>
      <c r="B133">
        <v>0</v>
      </c>
      <c r="C133">
        <v>3.0000000000000001E-3</v>
      </c>
      <c r="D133">
        <v>0.22800000000000001</v>
      </c>
      <c r="E133">
        <v>1</v>
      </c>
      <c r="F133">
        <v>0.96499999999999997</v>
      </c>
      <c r="G133">
        <v>0.20799999999999999</v>
      </c>
    </row>
    <row r="134" spans="1:7">
      <c r="A134">
        <v>2001</v>
      </c>
      <c r="B134">
        <v>0</v>
      </c>
      <c r="C134">
        <v>3.0000000000000001E-3</v>
      </c>
      <c r="D134">
        <v>0.22800000000000001</v>
      </c>
      <c r="E134">
        <v>1</v>
      </c>
      <c r="F134">
        <v>0.96499999999999997</v>
      </c>
      <c r="G134">
        <v>0.20799999999999999</v>
      </c>
    </row>
    <row r="135" spans="1:7">
      <c r="A135">
        <v>2002</v>
      </c>
      <c r="B135">
        <v>0</v>
      </c>
      <c r="C135">
        <v>3.0000000000000001E-3</v>
      </c>
      <c r="D135">
        <v>0.22800000000000001</v>
      </c>
      <c r="E135">
        <v>1</v>
      </c>
      <c r="F135">
        <v>0.96499999999999997</v>
      </c>
      <c r="G135">
        <v>0.20799999999999999</v>
      </c>
    </row>
    <row r="136" spans="1:7">
      <c r="A136">
        <v>2003</v>
      </c>
      <c r="B136">
        <v>0</v>
      </c>
      <c r="C136">
        <v>3.0000000000000001E-3</v>
      </c>
      <c r="D136">
        <v>0.22800000000000001</v>
      </c>
      <c r="E136">
        <v>1</v>
      </c>
      <c r="F136">
        <v>0.96499999999999997</v>
      </c>
      <c r="G136">
        <v>0.20799999999999999</v>
      </c>
    </row>
    <row r="137" spans="1:7">
      <c r="A137">
        <v>2004</v>
      </c>
      <c r="B137">
        <v>0</v>
      </c>
      <c r="C137">
        <v>3.0000000000000001E-3</v>
      </c>
      <c r="D137">
        <v>0.22800000000000001</v>
      </c>
      <c r="E137">
        <v>1</v>
      </c>
      <c r="F137">
        <v>0.96499999999999997</v>
      </c>
      <c r="G137">
        <v>0.20799999999999999</v>
      </c>
    </row>
    <row r="138" spans="1:7">
      <c r="A138">
        <v>2005</v>
      </c>
      <c r="B138">
        <v>0</v>
      </c>
      <c r="C138">
        <v>3.0000000000000001E-3</v>
      </c>
      <c r="D138">
        <v>0.22800000000000001</v>
      </c>
      <c r="E138">
        <v>1</v>
      </c>
      <c r="F138">
        <v>0.96499999999999997</v>
      </c>
      <c r="G138">
        <v>0.20799999999999999</v>
      </c>
    </row>
    <row r="139" spans="1:7">
      <c r="A139">
        <v>2006</v>
      </c>
      <c r="B139">
        <v>0</v>
      </c>
      <c r="C139">
        <v>3.0000000000000001E-3</v>
      </c>
      <c r="D139">
        <v>0.22800000000000001</v>
      </c>
      <c r="E139">
        <v>1</v>
      </c>
      <c r="F139">
        <v>0.96499999999999997</v>
      </c>
      <c r="G139">
        <v>0.20799999999999999</v>
      </c>
    </row>
    <row r="149" spans="1:7">
      <c r="A149" t="str">
        <f>'Titles and Variables'!C19</f>
        <v>USMEX_LL</v>
      </c>
      <c r="B149" t="s">
        <v>61</v>
      </c>
    </row>
    <row r="150" spans="1:7">
      <c r="A150" t="s">
        <v>70</v>
      </c>
      <c r="B150" t="s">
        <v>71</v>
      </c>
      <c r="C150" t="s">
        <v>72</v>
      </c>
    </row>
    <row r="151" spans="1:7">
      <c r="A151" t="s">
        <v>68</v>
      </c>
      <c r="B151">
        <v>0</v>
      </c>
      <c r="C151">
        <v>1</v>
      </c>
      <c r="D151">
        <v>2</v>
      </c>
      <c r="E151">
        <v>3</v>
      </c>
      <c r="F151">
        <v>4</v>
      </c>
      <c r="G151">
        <v>5</v>
      </c>
    </row>
    <row r="152" spans="1:7">
      <c r="A152" t="s">
        <v>69</v>
      </c>
      <c r="B152" t="s">
        <v>73</v>
      </c>
      <c r="C152" t="s">
        <v>73</v>
      </c>
      <c r="D152" t="s">
        <v>73</v>
      </c>
      <c r="E152" t="s">
        <v>73</v>
      </c>
      <c r="F152" t="s">
        <v>73</v>
      </c>
      <c r="G152" t="s">
        <v>73</v>
      </c>
    </row>
    <row r="153" spans="1:7">
      <c r="A153">
        <v>1993</v>
      </c>
      <c r="B153">
        <v>0</v>
      </c>
      <c r="C153">
        <v>6.0000000000000001E-3</v>
      </c>
      <c r="D153">
        <v>0.28199999999999997</v>
      </c>
      <c r="E153">
        <v>1</v>
      </c>
      <c r="F153">
        <v>0.64900000000000002</v>
      </c>
      <c r="G153">
        <v>5.0999999999999997E-2</v>
      </c>
    </row>
    <row r="154" spans="1:7">
      <c r="A154">
        <v>1994</v>
      </c>
      <c r="B154">
        <v>0</v>
      </c>
      <c r="C154">
        <v>6.0000000000000001E-3</v>
      </c>
      <c r="D154">
        <v>0.28199999999999997</v>
      </c>
      <c r="E154">
        <v>1</v>
      </c>
      <c r="F154">
        <v>0.64900000000000002</v>
      </c>
      <c r="G154">
        <v>5.0999999999999997E-2</v>
      </c>
    </row>
    <row r="155" spans="1:7">
      <c r="A155">
        <v>1995</v>
      </c>
      <c r="B155">
        <v>0</v>
      </c>
      <c r="C155">
        <v>6.0000000000000001E-3</v>
      </c>
      <c r="D155">
        <v>0.28199999999999997</v>
      </c>
      <c r="E155">
        <v>1</v>
      </c>
      <c r="F155">
        <v>0.64900000000000002</v>
      </c>
      <c r="G155">
        <v>5.0999999999999997E-2</v>
      </c>
    </row>
    <row r="156" spans="1:7">
      <c r="A156">
        <v>1996</v>
      </c>
      <c r="B156">
        <v>0</v>
      </c>
      <c r="C156">
        <v>6.0000000000000001E-3</v>
      </c>
      <c r="D156">
        <v>0.28199999999999997</v>
      </c>
      <c r="E156">
        <v>1</v>
      </c>
      <c r="F156">
        <v>0.64900000000000002</v>
      </c>
      <c r="G156">
        <v>5.0999999999999997E-2</v>
      </c>
    </row>
    <row r="157" spans="1:7">
      <c r="A157">
        <v>1997</v>
      </c>
      <c r="B157">
        <v>0</v>
      </c>
      <c r="C157">
        <v>6.0000000000000001E-3</v>
      </c>
      <c r="D157">
        <v>0.28199999999999997</v>
      </c>
      <c r="E157">
        <v>1</v>
      </c>
      <c r="F157">
        <v>0.64900000000000002</v>
      </c>
      <c r="G157">
        <v>5.0999999999999997E-2</v>
      </c>
    </row>
    <row r="158" spans="1:7">
      <c r="A158">
        <v>1998</v>
      </c>
      <c r="B158">
        <v>0</v>
      </c>
      <c r="C158">
        <v>6.0000000000000001E-3</v>
      </c>
      <c r="D158">
        <v>0.28199999999999997</v>
      </c>
      <c r="E158">
        <v>1</v>
      </c>
      <c r="F158">
        <v>0.64900000000000002</v>
      </c>
      <c r="G158">
        <v>5.0999999999999997E-2</v>
      </c>
    </row>
    <row r="159" spans="1:7">
      <c r="A159">
        <v>1999</v>
      </c>
      <c r="B159">
        <v>0</v>
      </c>
      <c r="C159">
        <v>6.0000000000000001E-3</v>
      </c>
      <c r="D159">
        <v>0.28199999999999997</v>
      </c>
      <c r="E159">
        <v>1</v>
      </c>
      <c r="F159">
        <v>0.64900000000000002</v>
      </c>
      <c r="G159">
        <v>5.0999999999999997E-2</v>
      </c>
    </row>
    <row r="160" spans="1:7">
      <c r="A160">
        <v>2000</v>
      </c>
      <c r="B160">
        <v>0</v>
      </c>
      <c r="C160">
        <v>6.0000000000000001E-3</v>
      </c>
      <c r="D160">
        <v>0.28199999999999997</v>
      </c>
      <c r="E160">
        <v>1</v>
      </c>
      <c r="F160">
        <v>0.64900000000000002</v>
      </c>
      <c r="G160">
        <v>5.0999999999999997E-2</v>
      </c>
    </row>
    <row r="161" spans="1:7">
      <c r="A161">
        <v>2001</v>
      </c>
      <c r="B161">
        <v>0</v>
      </c>
      <c r="C161">
        <v>6.0000000000000001E-3</v>
      </c>
      <c r="D161">
        <v>0.28199999999999997</v>
      </c>
      <c r="E161">
        <v>1</v>
      </c>
      <c r="F161">
        <v>0.64900000000000002</v>
      </c>
      <c r="G161">
        <v>5.0999999999999997E-2</v>
      </c>
    </row>
    <row r="162" spans="1:7">
      <c r="A162">
        <v>2002</v>
      </c>
      <c r="B162">
        <v>0</v>
      </c>
      <c r="C162">
        <v>6.0000000000000001E-3</v>
      </c>
      <c r="D162">
        <v>0.28199999999999997</v>
      </c>
      <c r="E162">
        <v>1</v>
      </c>
      <c r="F162">
        <v>0.64900000000000002</v>
      </c>
      <c r="G162">
        <v>5.0999999999999997E-2</v>
      </c>
    </row>
    <row r="163" spans="1:7">
      <c r="A163">
        <v>2003</v>
      </c>
      <c r="B163">
        <v>0</v>
      </c>
      <c r="C163">
        <v>6.0000000000000001E-3</v>
      </c>
      <c r="D163">
        <v>0.28199999999999997</v>
      </c>
      <c r="E163">
        <v>1</v>
      </c>
      <c r="F163">
        <v>0.64900000000000002</v>
      </c>
      <c r="G163">
        <v>5.0999999999999997E-2</v>
      </c>
    </row>
    <row r="164" spans="1:7">
      <c r="A164">
        <v>2004</v>
      </c>
      <c r="B164">
        <v>0</v>
      </c>
      <c r="C164">
        <v>6.0000000000000001E-3</v>
      </c>
      <c r="D164">
        <v>0.28199999999999997</v>
      </c>
      <c r="E164">
        <v>1</v>
      </c>
      <c r="F164">
        <v>0.64900000000000002</v>
      </c>
      <c r="G164">
        <v>5.0999999999999997E-2</v>
      </c>
    </row>
    <row r="165" spans="1:7">
      <c r="A165">
        <v>2005</v>
      </c>
      <c r="B165">
        <v>0</v>
      </c>
      <c r="C165">
        <v>6.0000000000000001E-3</v>
      </c>
      <c r="D165">
        <v>0.28199999999999997</v>
      </c>
      <c r="E165">
        <v>1</v>
      </c>
      <c r="F165">
        <v>0.64900000000000002</v>
      </c>
      <c r="G165">
        <v>5.0999999999999997E-2</v>
      </c>
    </row>
    <row r="166" spans="1:7">
      <c r="A166">
        <v>2006</v>
      </c>
      <c r="B166">
        <v>0</v>
      </c>
      <c r="C166">
        <v>6.0000000000000001E-3</v>
      </c>
      <c r="D166">
        <v>0.28199999999999997</v>
      </c>
      <c r="E166">
        <v>1</v>
      </c>
      <c r="F166">
        <v>0.64900000000000002</v>
      </c>
      <c r="G166">
        <v>5.0999999999999997E-2</v>
      </c>
    </row>
    <row r="199" spans="1:7">
      <c r="A199" t="str">
        <f>'Titles and Variables'!C20</f>
        <v>US_RR</v>
      </c>
      <c r="B199" t="s">
        <v>61</v>
      </c>
    </row>
    <row r="200" spans="1:7">
      <c r="A200" t="s">
        <v>70</v>
      </c>
      <c r="B200" t="s">
        <v>71</v>
      </c>
      <c r="C200" t="s">
        <v>72</v>
      </c>
    </row>
    <row r="201" spans="1:7">
      <c r="A201" t="s">
        <v>68</v>
      </c>
      <c r="B201">
        <v>0</v>
      </c>
      <c r="C201">
        <v>1</v>
      </c>
      <c r="D201">
        <v>2</v>
      </c>
      <c r="E201">
        <v>3</v>
      </c>
      <c r="F201">
        <v>4</v>
      </c>
      <c r="G201">
        <v>5</v>
      </c>
    </row>
    <row r="202" spans="1:7">
      <c r="A202" t="s">
        <v>69</v>
      </c>
      <c r="B202" t="s">
        <v>73</v>
      </c>
      <c r="C202" t="s">
        <v>73</v>
      </c>
      <c r="D202" t="s">
        <v>73</v>
      </c>
      <c r="E202" t="s">
        <v>73</v>
      </c>
      <c r="F202" t="s">
        <v>73</v>
      </c>
      <c r="G202" t="s">
        <v>73</v>
      </c>
    </row>
    <row r="249" spans="1:7">
      <c r="A249" t="str">
        <f>'Titles and Variables'!C21</f>
        <v>US_PLL ATL</v>
      </c>
      <c r="B249" t="s">
        <v>61</v>
      </c>
    </row>
    <row r="250" spans="1:7">
      <c r="A250" t="s">
        <v>68</v>
      </c>
      <c r="B250">
        <v>0</v>
      </c>
      <c r="C250">
        <v>1</v>
      </c>
      <c r="D250">
        <v>2</v>
      </c>
      <c r="E250">
        <v>3</v>
      </c>
      <c r="F250">
        <v>4</v>
      </c>
      <c r="G250">
        <v>5</v>
      </c>
    </row>
    <row r="251" spans="1:7">
      <c r="A251" t="s">
        <v>69</v>
      </c>
      <c r="B251" t="s">
        <v>73</v>
      </c>
      <c r="C251" t="s">
        <v>73</v>
      </c>
      <c r="D251" t="s">
        <v>73</v>
      </c>
      <c r="E251" t="s">
        <v>73</v>
      </c>
      <c r="F251" t="s">
        <v>73</v>
      </c>
      <c r="G251" t="s">
        <v>73</v>
      </c>
    </row>
    <row r="252" spans="1:7">
      <c r="A252" s="6">
        <v>1987</v>
      </c>
      <c r="B252">
        <v>0</v>
      </c>
      <c r="C252">
        <v>5.0000000000000001E-3</v>
      </c>
      <c r="D252">
        <v>0.26100000000000001</v>
      </c>
      <c r="E252">
        <v>1</v>
      </c>
      <c r="F252">
        <v>0.48</v>
      </c>
      <c r="G252">
        <v>2.7E-2</v>
      </c>
    </row>
    <row r="253" spans="1:7">
      <c r="A253">
        <v>1988</v>
      </c>
      <c r="B253">
        <v>0</v>
      </c>
      <c r="C253">
        <v>5.0000000000000001E-3</v>
      </c>
      <c r="D253">
        <v>0.26100000000000001</v>
      </c>
      <c r="E253">
        <v>1</v>
      </c>
      <c r="F253">
        <v>0.48</v>
      </c>
      <c r="G253">
        <v>2.7E-2</v>
      </c>
    </row>
    <row r="254" spans="1:7">
      <c r="A254">
        <v>1989</v>
      </c>
      <c r="B254">
        <v>0</v>
      </c>
      <c r="C254">
        <v>5.0000000000000001E-3</v>
      </c>
      <c r="D254">
        <v>0.26100000000000001</v>
      </c>
      <c r="E254">
        <v>1</v>
      </c>
      <c r="F254">
        <v>0.48</v>
      </c>
      <c r="G254">
        <v>2.7E-2</v>
      </c>
    </row>
    <row r="255" spans="1:7">
      <c r="A255">
        <v>1990</v>
      </c>
      <c r="B255">
        <v>0</v>
      </c>
      <c r="C255">
        <v>5.0000000000000001E-3</v>
      </c>
      <c r="D255">
        <v>0.26100000000000001</v>
      </c>
      <c r="E255">
        <v>1</v>
      </c>
      <c r="F255">
        <v>0.48</v>
      </c>
      <c r="G255">
        <v>2.7E-2</v>
      </c>
    </row>
    <row r="256" spans="1:7">
      <c r="A256">
        <v>1991</v>
      </c>
      <c r="B256">
        <v>0</v>
      </c>
      <c r="C256">
        <v>5.0000000000000001E-3</v>
      </c>
      <c r="D256">
        <v>0.26100000000000001</v>
      </c>
      <c r="E256">
        <v>1</v>
      </c>
      <c r="F256">
        <v>0.48</v>
      </c>
      <c r="G256">
        <v>2.7E-2</v>
      </c>
    </row>
    <row r="257" spans="1:7">
      <c r="A257">
        <v>1992</v>
      </c>
      <c r="B257">
        <v>0</v>
      </c>
      <c r="C257">
        <v>5.0000000000000001E-3</v>
      </c>
      <c r="D257">
        <v>0.26100000000000001</v>
      </c>
      <c r="E257">
        <v>1</v>
      </c>
      <c r="F257">
        <v>0.48</v>
      </c>
      <c r="G257">
        <v>2.7E-2</v>
      </c>
    </row>
    <row r="258" spans="1:7">
      <c r="A258">
        <v>1993</v>
      </c>
      <c r="B258">
        <v>0</v>
      </c>
      <c r="C258">
        <v>5.0000000000000001E-3</v>
      </c>
      <c r="D258">
        <v>0.26100000000000001</v>
      </c>
      <c r="E258">
        <v>1</v>
      </c>
      <c r="F258">
        <v>0.48</v>
      </c>
      <c r="G258">
        <v>2.7E-2</v>
      </c>
    </row>
    <row r="259" spans="1:7">
      <c r="A259">
        <v>1994</v>
      </c>
      <c r="B259">
        <v>0</v>
      </c>
      <c r="C259">
        <v>5.0000000000000001E-3</v>
      </c>
      <c r="D259">
        <v>0.26100000000000001</v>
      </c>
      <c r="E259">
        <v>1</v>
      </c>
      <c r="F259">
        <v>0.48</v>
      </c>
      <c r="G259">
        <v>2.7E-2</v>
      </c>
    </row>
    <row r="260" spans="1:7">
      <c r="A260">
        <v>1995</v>
      </c>
      <c r="B260">
        <v>0</v>
      </c>
      <c r="C260">
        <v>5.0000000000000001E-3</v>
      </c>
      <c r="D260">
        <v>0.26100000000000001</v>
      </c>
      <c r="E260">
        <v>1</v>
      </c>
      <c r="F260">
        <v>0.48</v>
      </c>
      <c r="G260">
        <v>2.7E-2</v>
      </c>
    </row>
    <row r="261" spans="1:7">
      <c r="A261">
        <v>1996</v>
      </c>
      <c r="B261">
        <v>0</v>
      </c>
      <c r="C261">
        <v>5.0000000000000001E-3</v>
      </c>
      <c r="D261">
        <v>0.26100000000000001</v>
      </c>
      <c r="E261">
        <v>1</v>
      </c>
      <c r="F261">
        <v>0.48</v>
      </c>
      <c r="G261">
        <v>2.7E-2</v>
      </c>
    </row>
    <row r="262" spans="1:7">
      <c r="A262">
        <v>1997</v>
      </c>
      <c r="B262">
        <v>0</v>
      </c>
      <c r="C262">
        <v>5.0000000000000001E-3</v>
      </c>
      <c r="D262">
        <v>0.26100000000000001</v>
      </c>
      <c r="E262">
        <v>1</v>
      </c>
      <c r="F262">
        <v>0.48</v>
      </c>
      <c r="G262">
        <v>2.7E-2</v>
      </c>
    </row>
    <row r="263" spans="1:7">
      <c r="A263">
        <v>1998</v>
      </c>
      <c r="B263">
        <v>0</v>
      </c>
      <c r="C263">
        <v>5.0000000000000001E-3</v>
      </c>
      <c r="D263">
        <v>0.26100000000000001</v>
      </c>
      <c r="E263">
        <v>1</v>
      </c>
      <c r="F263">
        <v>0.48</v>
      </c>
      <c r="G263">
        <v>2.7E-2</v>
      </c>
    </row>
    <row r="264" spans="1:7">
      <c r="A264">
        <v>1999</v>
      </c>
      <c r="B264">
        <v>0</v>
      </c>
      <c r="C264">
        <v>5.0000000000000001E-3</v>
      </c>
      <c r="D264">
        <v>0.26100000000000001</v>
      </c>
      <c r="E264">
        <v>1</v>
      </c>
      <c r="F264">
        <v>0.48</v>
      </c>
      <c r="G264">
        <v>2.7E-2</v>
      </c>
    </row>
    <row r="265" spans="1:7">
      <c r="A265">
        <v>2000</v>
      </c>
      <c r="B265">
        <v>0</v>
      </c>
      <c r="C265">
        <v>5.0000000000000001E-3</v>
      </c>
      <c r="D265">
        <v>0.26100000000000001</v>
      </c>
      <c r="E265">
        <v>1</v>
      </c>
      <c r="F265">
        <v>0.48</v>
      </c>
      <c r="G265">
        <v>2.7E-2</v>
      </c>
    </row>
    <row r="266" spans="1:7">
      <c r="A266">
        <v>2001</v>
      </c>
      <c r="B266">
        <v>0</v>
      </c>
      <c r="C266">
        <v>5.0000000000000001E-3</v>
      </c>
      <c r="D266">
        <v>0.26100000000000001</v>
      </c>
      <c r="E266">
        <v>1</v>
      </c>
      <c r="F266">
        <v>0.48</v>
      </c>
      <c r="G266">
        <v>2.7E-2</v>
      </c>
    </row>
    <row r="267" spans="1:7">
      <c r="A267">
        <v>2002</v>
      </c>
      <c r="B267">
        <v>0</v>
      </c>
      <c r="C267">
        <v>5.0000000000000001E-3</v>
      </c>
      <c r="D267">
        <v>0.26100000000000001</v>
      </c>
      <c r="E267">
        <v>1</v>
      </c>
      <c r="F267">
        <v>0.48</v>
      </c>
      <c r="G267">
        <v>2.7E-2</v>
      </c>
    </row>
    <row r="268" spans="1:7">
      <c r="A268">
        <v>2003</v>
      </c>
      <c r="B268">
        <v>0</v>
      </c>
      <c r="C268">
        <v>5.0000000000000001E-3</v>
      </c>
      <c r="D268">
        <v>0.26100000000000001</v>
      </c>
      <c r="E268">
        <v>1</v>
      </c>
      <c r="F268">
        <v>0.48</v>
      </c>
      <c r="G268">
        <v>2.7E-2</v>
      </c>
    </row>
    <row r="269" spans="1:7">
      <c r="A269">
        <v>2004</v>
      </c>
      <c r="B269">
        <v>0</v>
      </c>
      <c r="C269">
        <v>5.0000000000000001E-3</v>
      </c>
      <c r="D269">
        <v>0.26100000000000001</v>
      </c>
      <c r="E269">
        <v>1</v>
      </c>
      <c r="F269">
        <v>0.48</v>
      </c>
      <c r="G269">
        <v>2.7E-2</v>
      </c>
    </row>
    <row r="270" spans="1:7">
      <c r="A270">
        <v>2005</v>
      </c>
      <c r="B270">
        <v>0</v>
      </c>
      <c r="C270">
        <v>5.0000000000000001E-3</v>
      </c>
      <c r="D270">
        <v>0.26100000000000001</v>
      </c>
      <c r="E270">
        <v>1</v>
      </c>
      <c r="F270">
        <v>0.48</v>
      </c>
      <c r="G270">
        <v>2.7E-2</v>
      </c>
    </row>
    <row r="271" spans="1:7">
      <c r="A271">
        <v>2006</v>
      </c>
      <c r="B271">
        <v>0</v>
      </c>
      <c r="C271">
        <v>5.0000000000000001E-3</v>
      </c>
      <c r="D271">
        <v>0.26100000000000001</v>
      </c>
      <c r="E271">
        <v>1</v>
      </c>
      <c r="F271">
        <v>0.48</v>
      </c>
      <c r="G271">
        <v>2.7E-2</v>
      </c>
    </row>
    <row r="299" spans="1:7">
      <c r="A299" t="str">
        <f>'Titles and Variables'!C22</f>
        <v>VEN_LL</v>
      </c>
      <c r="B299" t="s">
        <v>61</v>
      </c>
    </row>
    <row r="300" spans="1:7">
      <c r="A300" t="s">
        <v>70</v>
      </c>
      <c r="B300" t="s">
        <v>71</v>
      </c>
      <c r="C300" t="s">
        <v>72</v>
      </c>
    </row>
    <row r="301" spans="1:7">
      <c r="A301" t="s">
        <v>68</v>
      </c>
      <c r="B301">
        <v>0</v>
      </c>
      <c r="C301">
        <v>1</v>
      </c>
      <c r="D301">
        <v>2</v>
      </c>
      <c r="E301">
        <v>3</v>
      </c>
      <c r="F301">
        <v>4</v>
      </c>
      <c r="G301">
        <v>5</v>
      </c>
    </row>
    <row r="302" spans="1:7">
      <c r="A302" t="s">
        <v>69</v>
      </c>
      <c r="B302" t="s">
        <v>73</v>
      </c>
      <c r="C302" t="s">
        <v>73</v>
      </c>
      <c r="D302" t="s">
        <v>73</v>
      </c>
      <c r="E302" t="s">
        <v>73</v>
      </c>
      <c r="F302" t="s">
        <v>73</v>
      </c>
      <c r="G302" t="s">
        <v>73</v>
      </c>
    </row>
    <row r="303" spans="1:7">
      <c r="A303">
        <v>1991</v>
      </c>
      <c r="B303">
        <v>0</v>
      </c>
      <c r="C303">
        <v>1.6E-2</v>
      </c>
      <c r="D303">
        <v>0.11799999999999999</v>
      </c>
      <c r="E303">
        <v>0.84</v>
      </c>
      <c r="F303">
        <v>1</v>
      </c>
      <c r="G303">
        <v>0.36299999999999999</v>
      </c>
    </row>
    <row r="304" spans="1:7">
      <c r="A304">
        <v>1992</v>
      </c>
      <c r="B304">
        <v>0</v>
      </c>
      <c r="C304">
        <v>1.6E-2</v>
      </c>
      <c r="D304">
        <v>0.11799999999999999</v>
      </c>
      <c r="E304">
        <v>0.84</v>
      </c>
      <c r="F304">
        <v>1</v>
      </c>
      <c r="G304">
        <v>0.36299999999999999</v>
      </c>
    </row>
    <row r="305" spans="1:7">
      <c r="A305">
        <v>1993</v>
      </c>
      <c r="B305">
        <v>0</v>
      </c>
      <c r="C305">
        <v>1.6E-2</v>
      </c>
      <c r="D305">
        <v>0.11799999999999999</v>
      </c>
      <c r="E305">
        <v>0.84</v>
      </c>
      <c r="F305">
        <v>1</v>
      </c>
      <c r="G305">
        <v>0.36299999999999999</v>
      </c>
    </row>
    <row r="306" spans="1:7">
      <c r="A306">
        <v>1994</v>
      </c>
      <c r="B306">
        <v>0</v>
      </c>
      <c r="C306">
        <v>1.6E-2</v>
      </c>
      <c r="D306">
        <v>0.11799999999999999</v>
      </c>
      <c r="E306">
        <v>0.84</v>
      </c>
      <c r="F306">
        <v>1</v>
      </c>
      <c r="G306">
        <v>0.36299999999999999</v>
      </c>
    </row>
    <row r="307" spans="1:7">
      <c r="A307">
        <v>1995</v>
      </c>
      <c r="B307">
        <v>0</v>
      </c>
      <c r="C307">
        <v>1.6E-2</v>
      </c>
      <c r="D307">
        <v>0.11799999999999999</v>
      </c>
      <c r="E307">
        <v>0.84</v>
      </c>
      <c r="F307">
        <v>1</v>
      </c>
      <c r="G307">
        <v>0.36299999999999999</v>
      </c>
    </row>
    <row r="308" spans="1:7">
      <c r="A308">
        <v>1996</v>
      </c>
      <c r="B308">
        <v>0</v>
      </c>
      <c r="C308">
        <v>1.6E-2</v>
      </c>
      <c r="D308">
        <v>0.11799999999999999</v>
      </c>
      <c r="E308">
        <v>0.84</v>
      </c>
      <c r="F308">
        <v>1</v>
      </c>
      <c r="G308">
        <v>0.36299999999999999</v>
      </c>
    </row>
    <row r="309" spans="1:7">
      <c r="A309">
        <v>1997</v>
      </c>
      <c r="B309">
        <v>0</v>
      </c>
      <c r="C309">
        <v>1.6E-2</v>
      </c>
      <c r="D309">
        <v>0.11799999999999999</v>
      </c>
      <c r="E309">
        <v>0.84</v>
      </c>
      <c r="F309">
        <v>1</v>
      </c>
      <c r="G309">
        <v>0.36299999999999999</v>
      </c>
    </row>
    <row r="310" spans="1:7">
      <c r="A310">
        <v>1998</v>
      </c>
      <c r="B310">
        <v>0</v>
      </c>
      <c r="C310">
        <v>1.6E-2</v>
      </c>
      <c r="D310">
        <v>0.11799999999999999</v>
      </c>
      <c r="E310">
        <v>0.84</v>
      </c>
      <c r="F310">
        <v>1</v>
      </c>
      <c r="G310">
        <v>0.36299999999999999</v>
      </c>
    </row>
    <row r="311" spans="1:7">
      <c r="A311">
        <v>1999</v>
      </c>
      <c r="B311">
        <v>0</v>
      </c>
      <c r="C311">
        <v>1.6E-2</v>
      </c>
      <c r="D311">
        <v>0.11799999999999999</v>
      </c>
      <c r="E311">
        <v>0.84</v>
      </c>
      <c r="F311">
        <v>1</v>
      </c>
      <c r="G311">
        <v>0.36299999999999999</v>
      </c>
    </row>
    <row r="312" spans="1:7">
      <c r="A312">
        <v>2000</v>
      </c>
      <c r="B312">
        <v>0</v>
      </c>
      <c r="C312">
        <v>1.6E-2</v>
      </c>
      <c r="D312">
        <v>0.11799999999999999</v>
      </c>
      <c r="E312">
        <v>0.84</v>
      </c>
      <c r="F312">
        <v>1</v>
      </c>
      <c r="G312">
        <v>0.36299999999999999</v>
      </c>
    </row>
    <row r="313" spans="1:7">
      <c r="A313">
        <v>2001</v>
      </c>
      <c r="B313">
        <v>0</v>
      </c>
      <c r="C313">
        <v>1.6E-2</v>
      </c>
      <c r="D313">
        <v>0.11799999999999999</v>
      </c>
      <c r="E313">
        <v>0.84</v>
      </c>
      <c r="F313">
        <v>1</v>
      </c>
      <c r="G313">
        <v>0.36299999999999999</v>
      </c>
    </row>
    <row r="349" spans="1:6">
      <c r="A349" t="str">
        <f>'Titles and Variables'!C23</f>
        <v>VEN_PS</v>
      </c>
      <c r="B349" t="s">
        <v>61</v>
      </c>
    </row>
    <row r="350" spans="1:6">
      <c r="A350" t="s">
        <v>70</v>
      </c>
      <c r="B350" t="s">
        <v>71</v>
      </c>
      <c r="C350" t="s">
        <v>72</v>
      </c>
    </row>
    <row r="351" spans="1:6">
      <c r="A351" t="s">
        <v>68</v>
      </c>
      <c r="B351">
        <v>0</v>
      </c>
      <c r="C351">
        <v>1</v>
      </c>
      <c r="D351">
        <v>2</v>
      </c>
      <c r="E351">
        <v>3</v>
      </c>
      <c r="F351">
        <v>4</v>
      </c>
    </row>
    <row r="352" spans="1:6">
      <c r="A352" t="s">
        <v>69</v>
      </c>
      <c r="B352" t="s">
        <v>73</v>
      </c>
      <c r="C352" t="s">
        <v>73</v>
      </c>
      <c r="D352" t="s">
        <v>73</v>
      </c>
      <c r="E352" t="s">
        <v>73</v>
      </c>
      <c r="F352" t="s">
        <v>73</v>
      </c>
    </row>
    <row r="353" spans="1:6">
      <c r="A353">
        <v>1983</v>
      </c>
      <c r="B353">
        <v>1.4E-2</v>
      </c>
      <c r="C353">
        <v>0.63</v>
      </c>
      <c r="D353">
        <v>0.86799999999999999</v>
      </c>
      <c r="E353">
        <v>1</v>
      </c>
      <c r="F353">
        <v>0.19500000000000001</v>
      </c>
    </row>
    <row r="354" spans="1:6">
      <c r="A354">
        <v>1984</v>
      </c>
      <c r="B354">
        <v>1.4E-2</v>
      </c>
      <c r="C354">
        <v>0.63</v>
      </c>
      <c r="D354">
        <v>0.86799999999999999</v>
      </c>
      <c r="E354">
        <v>1</v>
      </c>
      <c r="F354">
        <v>0.19500000000000001</v>
      </c>
    </row>
    <row r="355" spans="1:6">
      <c r="A355">
        <v>1985</v>
      </c>
      <c r="B355">
        <v>1.4E-2</v>
      </c>
      <c r="C355">
        <v>0.63</v>
      </c>
      <c r="D355">
        <v>0.86799999999999999</v>
      </c>
      <c r="E355">
        <v>1</v>
      </c>
      <c r="F355">
        <v>0.19500000000000001</v>
      </c>
    </row>
    <row r="356" spans="1:6">
      <c r="A356">
        <v>1986</v>
      </c>
      <c r="B356">
        <v>1.4E-2</v>
      </c>
      <c r="C356">
        <v>0.63</v>
      </c>
      <c r="D356">
        <v>0.86799999999999999</v>
      </c>
      <c r="E356">
        <v>1</v>
      </c>
      <c r="F356">
        <v>0.19500000000000001</v>
      </c>
    </row>
    <row r="357" spans="1:6">
      <c r="A357">
        <v>1987</v>
      </c>
      <c r="B357">
        <v>1.4E-2</v>
      </c>
      <c r="C357">
        <v>0.63</v>
      </c>
      <c r="D357">
        <v>0.86799999999999999</v>
      </c>
      <c r="E357">
        <v>1</v>
      </c>
      <c r="F357">
        <v>0.19500000000000001</v>
      </c>
    </row>
    <row r="358" spans="1:6">
      <c r="A358">
        <v>1988</v>
      </c>
      <c r="B358">
        <v>1.4E-2</v>
      </c>
      <c r="C358">
        <v>0.63</v>
      </c>
      <c r="D358">
        <v>0.86799999999999999</v>
      </c>
      <c r="E358">
        <v>1</v>
      </c>
      <c r="F358">
        <v>0.19500000000000001</v>
      </c>
    </row>
    <row r="359" spans="1:6">
      <c r="A359">
        <v>1989</v>
      </c>
      <c r="B359">
        <v>1.4E-2</v>
      </c>
      <c r="C359">
        <v>0.63</v>
      </c>
      <c r="D359">
        <v>0.86799999999999999</v>
      </c>
      <c r="E359">
        <v>1</v>
      </c>
      <c r="F359">
        <v>0.19500000000000001</v>
      </c>
    </row>
    <row r="360" spans="1:6">
      <c r="A360">
        <v>1990</v>
      </c>
      <c r="B360">
        <v>1.4E-2</v>
      </c>
      <c r="C360">
        <v>0.63</v>
      </c>
      <c r="D360">
        <v>0.86799999999999999</v>
      </c>
      <c r="E360">
        <v>1</v>
      </c>
      <c r="F360">
        <v>0.19500000000000001</v>
      </c>
    </row>
    <row r="361" spans="1:6">
      <c r="A361">
        <v>1991</v>
      </c>
      <c r="B361">
        <v>1.4E-2</v>
      </c>
      <c r="C361">
        <v>0.63</v>
      </c>
      <c r="D361">
        <v>0.86799999999999999</v>
      </c>
      <c r="E361">
        <v>1</v>
      </c>
      <c r="F361">
        <v>0.19500000000000001</v>
      </c>
    </row>
    <row r="362" spans="1:6">
      <c r="A362">
        <v>1992</v>
      </c>
      <c r="B362">
        <v>1.4E-2</v>
      </c>
      <c r="C362">
        <v>0.63</v>
      </c>
      <c r="D362">
        <v>0.86799999999999999</v>
      </c>
      <c r="E362">
        <v>1</v>
      </c>
      <c r="F362">
        <v>0.19500000000000001</v>
      </c>
    </row>
    <row r="363" spans="1:6">
      <c r="A363">
        <v>1993</v>
      </c>
      <c r="B363">
        <v>1.4E-2</v>
      </c>
      <c r="C363">
        <v>0.63</v>
      </c>
      <c r="D363">
        <v>0.86799999999999999</v>
      </c>
      <c r="E363">
        <v>1</v>
      </c>
      <c r="F363">
        <v>0.19500000000000001</v>
      </c>
    </row>
    <row r="364" spans="1:6">
      <c r="A364">
        <v>1994</v>
      </c>
      <c r="B364">
        <v>1.4E-2</v>
      </c>
      <c r="C364">
        <v>0.63</v>
      </c>
      <c r="D364">
        <v>0.86799999999999999</v>
      </c>
      <c r="E364">
        <v>1</v>
      </c>
      <c r="F364">
        <v>0.19500000000000001</v>
      </c>
    </row>
    <row r="365" spans="1:6">
      <c r="A365">
        <v>1995</v>
      </c>
      <c r="B365">
        <v>1.4E-2</v>
      </c>
      <c r="C365">
        <v>0.63</v>
      </c>
      <c r="D365">
        <v>0.86799999999999999</v>
      </c>
      <c r="E365">
        <v>1</v>
      </c>
      <c r="F365">
        <v>0.19500000000000001</v>
      </c>
    </row>
    <row r="366" spans="1:6">
      <c r="A366">
        <v>1996</v>
      </c>
      <c r="B366">
        <v>1.4E-2</v>
      </c>
      <c r="C366">
        <v>0.63</v>
      </c>
      <c r="D366">
        <v>0.86799999999999999</v>
      </c>
      <c r="E366">
        <v>1</v>
      </c>
      <c r="F366">
        <v>0.19500000000000001</v>
      </c>
    </row>
    <row r="367" spans="1:6">
      <c r="A367">
        <v>1997</v>
      </c>
      <c r="B367">
        <v>1.4E-2</v>
      </c>
      <c r="C367">
        <v>0.63</v>
      </c>
      <c r="D367">
        <v>0.86799999999999999</v>
      </c>
      <c r="E367">
        <v>1</v>
      </c>
      <c r="F367">
        <v>0.19500000000000001</v>
      </c>
    </row>
    <row r="368" spans="1:6">
      <c r="A368">
        <v>1998</v>
      </c>
      <c r="B368">
        <v>1.4E-2</v>
      </c>
      <c r="C368">
        <v>0.63</v>
      </c>
      <c r="D368">
        <v>0.86799999999999999</v>
      </c>
      <c r="E368">
        <v>1</v>
      </c>
      <c r="F368">
        <v>0.19500000000000001</v>
      </c>
    </row>
    <row r="369" spans="1:6">
      <c r="A369">
        <v>1999</v>
      </c>
      <c r="B369">
        <v>1.4E-2</v>
      </c>
      <c r="C369">
        <v>0.63</v>
      </c>
      <c r="D369">
        <v>0.86799999999999999</v>
      </c>
      <c r="E369">
        <v>1</v>
      </c>
      <c r="F369">
        <v>0.19500000000000001</v>
      </c>
    </row>
    <row r="370" spans="1:6">
      <c r="A370">
        <v>2000</v>
      </c>
      <c r="B370">
        <v>1.4E-2</v>
      </c>
      <c r="C370">
        <v>0.63</v>
      </c>
      <c r="D370">
        <v>0.86799999999999999</v>
      </c>
      <c r="E370">
        <v>1</v>
      </c>
      <c r="F370">
        <v>0.19500000000000001</v>
      </c>
    </row>
    <row r="371" spans="1:6">
      <c r="A371">
        <v>2001</v>
      </c>
      <c r="B371">
        <v>1.4E-2</v>
      </c>
      <c r="C371">
        <v>0.63</v>
      </c>
      <c r="D371">
        <v>0.86799999999999999</v>
      </c>
      <c r="E371">
        <v>1</v>
      </c>
      <c r="F371">
        <v>0.19500000000000001</v>
      </c>
    </row>
    <row r="372" spans="1:6">
      <c r="A372">
        <v>2002</v>
      </c>
      <c r="B372">
        <v>1.4E-2</v>
      </c>
      <c r="C372">
        <v>0.63</v>
      </c>
      <c r="D372">
        <v>0.86799999999999999</v>
      </c>
      <c r="E372">
        <v>1</v>
      </c>
      <c r="F372">
        <v>0.19500000000000001</v>
      </c>
    </row>
    <row r="373" spans="1:6">
      <c r="A373">
        <v>2003</v>
      </c>
      <c r="B373">
        <v>1.4E-2</v>
      </c>
      <c r="C373">
        <v>0.63</v>
      </c>
      <c r="D373">
        <v>0.86799999999999999</v>
      </c>
      <c r="E373">
        <v>1</v>
      </c>
      <c r="F373">
        <v>0.19500000000000001</v>
      </c>
    </row>
    <row r="374" spans="1:6">
      <c r="A374">
        <v>2004</v>
      </c>
      <c r="B374">
        <v>1.4E-2</v>
      </c>
      <c r="C374">
        <v>0.63</v>
      </c>
      <c r="D374">
        <v>0.86799999999999999</v>
      </c>
      <c r="E374">
        <v>1</v>
      </c>
      <c r="F374">
        <v>0.19500000000000001</v>
      </c>
    </row>
    <row r="375" spans="1:6">
      <c r="A375">
        <v>2005</v>
      </c>
      <c r="B375">
        <v>1.4E-2</v>
      </c>
      <c r="C375">
        <v>0.63</v>
      </c>
      <c r="D375">
        <v>0.86799999999999999</v>
      </c>
      <c r="E375">
        <v>1</v>
      </c>
      <c r="F375">
        <v>0.19500000000000001</v>
      </c>
    </row>
    <row r="399" spans="1:3">
      <c r="A399" t="str">
        <f>'Titles and Variables'!C24</f>
        <v>EUR-FAD-PS</v>
      </c>
      <c r="B399" t="s">
        <v>61</v>
      </c>
    </row>
    <row r="400" spans="1:3">
      <c r="A400" t="s">
        <v>70</v>
      </c>
      <c r="B400" t="s">
        <v>71</v>
      </c>
      <c r="C400" t="s">
        <v>72</v>
      </c>
    </row>
    <row r="449" spans="1:7">
      <c r="A449" t="str">
        <f>'Titles and Variables'!C25</f>
        <v>EUR-PS 3%</v>
      </c>
      <c r="B449" t="s">
        <v>61</v>
      </c>
    </row>
    <row r="450" spans="1:7">
      <c r="A450" t="s">
        <v>68</v>
      </c>
      <c r="B450">
        <v>0</v>
      </c>
      <c r="C450">
        <v>1</v>
      </c>
      <c r="D450">
        <v>2</v>
      </c>
      <c r="E450">
        <v>3</v>
      </c>
      <c r="F450">
        <v>4</v>
      </c>
      <c r="G450">
        <v>5</v>
      </c>
    </row>
    <row r="451" spans="1:7">
      <c r="A451" t="s">
        <v>69</v>
      </c>
      <c r="B451" t="s">
        <v>73</v>
      </c>
      <c r="C451" t="s">
        <v>73</v>
      </c>
      <c r="D451" t="s">
        <v>73</v>
      </c>
      <c r="E451" t="s">
        <v>73</v>
      </c>
      <c r="F451" t="s">
        <v>73</v>
      </c>
      <c r="G451" t="s">
        <v>73</v>
      </c>
    </row>
    <row r="452" spans="1:7">
      <c r="A452">
        <v>1970</v>
      </c>
      <c r="B452">
        <v>9.0999999999999998E-2</v>
      </c>
      <c r="C452">
        <v>0.17899999999999999</v>
      </c>
      <c r="D452">
        <v>0.13800000000000001</v>
      </c>
      <c r="E452">
        <v>0.36099999999999999</v>
      </c>
      <c r="F452">
        <v>1</v>
      </c>
      <c r="G452">
        <v>0.215</v>
      </c>
    </row>
    <row r="453" spans="1:7">
      <c r="A453">
        <v>1971</v>
      </c>
      <c r="B453">
        <v>9.0999999999999998E-2</v>
      </c>
      <c r="C453">
        <v>0.17899999999999999</v>
      </c>
      <c r="D453">
        <v>0.13800000000000001</v>
      </c>
      <c r="E453">
        <v>0.36099999999999999</v>
      </c>
      <c r="F453">
        <v>1</v>
      </c>
      <c r="G453">
        <v>0.215</v>
      </c>
    </row>
    <row r="454" spans="1:7">
      <c r="A454">
        <v>1972</v>
      </c>
      <c r="B454">
        <v>9.0999999999999998E-2</v>
      </c>
      <c r="C454">
        <v>0.17899999999999999</v>
      </c>
      <c r="D454">
        <v>0.13800000000000001</v>
      </c>
      <c r="E454">
        <v>0.36099999999999999</v>
      </c>
      <c r="F454">
        <v>1</v>
      </c>
      <c r="G454">
        <v>0.215</v>
      </c>
    </row>
    <row r="455" spans="1:7">
      <c r="A455">
        <v>1973</v>
      </c>
      <c r="B455">
        <v>9.0999999999999998E-2</v>
      </c>
      <c r="C455">
        <v>0.17899999999999999</v>
      </c>
      <c r="D455">
        <v>0.13800000000000001</v>
      </c>
      <c r="E455">
        <v>0.36099999999999999</v>
      </c>
      <c r="F455">
        <v>1</v>
      </c>
      <c r="G455">
        <v>0.215</v>
      </c>
    </row>
    <row r="456" spans="1:7">
      <c r="A456">
        <v>1974</v>
      </c>
      <c r="B456">
        <v>9.0999999999999998E-2</v>
      </c>
      <c r="C456">
        <v>0.17899999999999999</v>
      </c>
      <c r="D456">
        <v>0.13800000000000001</v>
      </c>
      <c r="E456">
        <v>0.36099999999999999</v>
      </c>
      <c r="F456">
        <v>1</v>
      </c>
      <c r="G456">
        <v>0.215</v>
      </c>
    </row>
    <row r="457" spans="1:7">
      <c r="A457">
        <v>1975</v>
      </c>
      <c r="B457">
        <v>9.0999999999999998E-2</v>
      </c>
      <c r="C457">
        <v>0.17899999999999999</v>
      </c>
      <c r="D457">
        <v>0.13800000000000001</v>
      </c>
      <c r="E457">
        <v>0.36099999999999999</v>
      </c>
      <c r="F457">
        <v>1</v>
      </c>
      <c r="G457">
        <v>0.215</v>
      </c>
    </row>
    <row r="458" spans="1:7">
      <c r="A458">
        <v>1976</v>
      </c>
      <c r="B458">
        <v>9.0999999999999998E-2</v>
      </c>
      <c r="C458">
        <v>0.17899999999999999</v>
      </c>
      <c r="D458">
        <v>0.13800000000000001</v>
      </c>
      <c r="E458">
        <v>0.36099999999999999</v>
      </c>
      <c r="F458">
        <v>1</v>
      </c>
      <c r="G458">
        <v>0.215</v>
      </c>
    </row>
    <row r="459" spans="1:7">
      <c r="A459">
        <v>1977</v>
      </c>
      <c r="B459">
        <v>9.0999999999999998E-2</v>
      </c>
      <c r="C459">
        <v>0.17899999999999999</v>
      </c>
      <c r="D459">
        <v>0.13800000000000001</v>
      </c>
      <c r="E459">
        <v>0.36099999999999999</v>
      </c>
      <c r="F459">
        <v>1</v>
      </c>
      <c r="G459">
        <v>0.215</v>
      </c>
    </row>
    <row r="460" spans="1:7">
      <c r="A460">
        <v>1978</v>
      </c>
      <c r="B460">
        <v>9.0999999999999998E-2</v>
      </c>
      <c r="C460">
        <v>0.17899999999999999</v>
      </c>
      <c r="D460">
        <v>0.13800000000000001</v>
      </c>
      <c r="E460">
        <v>0.36099999999999999</v>
      </c>
      <c r="F460">
        <v>1</v>
      </c>
      <c r="G460">
        <v>0.215</v>
      </c>
    </row>
    <row r="461" spans="1:7">
      <c r="A461">
        <v>1979</v>
      </c>
      <c r="B461">
        <v>9.0999999999999998E-2</v>
      </c>
      <c r="C461">
        <v>0.17899999999999999</v>
      </c>
      <c r="D461">
        <v>0.13800000000000001</v>
      </c>
      <c r="E461">
        <v>0.36099999999999999</v>
      </c>
      <c r="F461">
        <v>1</v>
      </c>
      <c r="G461">
        <v>0.215</v>
      </c>
    </row>
    <row r="462" spans="1:7">
      <c r="A462">
        <v>1980</v>
      </c>
      <c r="B462">
        <v>9.0999999999999998E-2</v>
      </c>
      <c r="C462">
        <v>0.17899999999999999</v>
      </c>
      <c r="D462">
        <v>0.13800000000000001</v>
      </c>
      <c r="E462">
        <v>0.36099999999999999</v>
      </c>
      <c r="F462">
        <v>1</v>
      </c>
      <c r="G462">
        <v>0.215</v>
      </c>
    </row>
    <row r="463" spans="1:7">
      <c r="A463">
        <v>1981</v>
      </c>
      <c r="B463">
        <v>9.0999999999999998E-2</v>
      </c>
      <c r="C463">
        <v>0.17899999999999999</v>
      </c>
      <c r="D463">
        <v>0.13800000000000001</v>
      </c>
      <c r="E463">
        <v>0.36099999999999999</v>
      </c>
      <c r="F463">
        <v>1</v>
      </c>
      <c r="G463">
        <v>0.215</v>
      </c>
    </row>
    <row r="464" spans="1:7">
      <c r="A464">
        <v>1982</v>
      </c>
      <c r="B464">
        <v>9.0999999999999998E-2</v>
      </c>
      <c r="C464">
        <v>0.17899999999999999</v>
      </c>
      <c r="D464">
        <v>0.13800000000000001</v>
      </c>
      <c r="E464">
        <v>0.36099999999999999</v>
      </c>
      <c r="F464">
        <v>1</v>
      </c>
      <c r="G464">
        <v>0.215</v>
      </c>
    </row>
    <row r="465" spans="1:7">
      <c r="A465">
        <v>1983</v>
      </c>
      <c r="B465">
        <v>9.0999999999999998E-2</v>
      </c>
      <c r="C465">
        <v>0.17899999999999999</v>
      </c>
      <c r="D465">
        <v>0.13800000000000001</v>
      </c>
      <c r="E465">
        <v>0.36099999999999999</v>
      </c>
      <c r="F465">
        <v>1</v>
      </c>
      <c r="G465">
        <v>0.215</v>
      </c>
    </row>
    <row r="466" spans="1:7">
      <c r="A466">
        <v>1984</v>
      </c>
      <c r="B466">
        <v>9.0999999999999998E-2</v>
      </c>
      <c r="C466">
        <v>0.17899999999999999</v>
      </c>
      <c r="D466">
        <v>0.13800000000000001</v>
      </c>
      <c r="E466">
        <v>0.36099999999999999</v>
      </c>
      <c r="F466">
        <v>1</v>
      </c>
      <c r="G466">
        <v>0.215</v>
      </c>
    </row>
    <row r="467" spans="1:7">
      <c r="A467">
        <v>1985</v>
      </c>
      <c r="B467">
        <v>9.0999999999999998E-2</v>
      </c>
      <c r="C467">
        <v>0.17899999999999999</v>
      </c>
      <c r="D467">
        <v>0.13800000000000001</v>
      </c>
      <c r="E467">
        <v>0.36099999999999999</v>
      </c>
      <c r="F467">
        <v>1</v>
      </c>
      <c r="G467">
        <v>0.215</v>
      </c>
    </row>
    <row r="468" spans="1:7">
      <c r="A468">
        <v>1986</v>
      </c>
      <c r="B468">
        <v>9.0999999999999998E-2</v>
      </c>
      <c r="C468">
        <v>0.17899999999999999</v>
      </c>
      <c r="D468">
        <v>0.13800000000000001</v>
      </c>
      <c r="E468">
        <v>0.36099999999999999</v>
      </c>
      <c r="F468">
        <v>1</v>
      </c>
      <c r="G468">
        <v>0.215</v>
      </c>
    </row>
    <row r="469" spans="1:7">
      <c r="A469">
        <v>1987</v>
      </c>
      <c r="B469">
        <v>9.0999999999999998E-2</v>
      </c>
      <c r="C469">
        <v>0.17899999999999999</v>
      </c>
      <c r="D469">
        <v>0.13800000000000001</v>
      </c>
      <c r="E469">
        <v>0.36099999999999999</v>
      </c>
      <c r="F469">
        <v>1</v>
      </c>
      <c r="G469">
        <v>0.215</v>
      </c>
    </row>
    <row r="470" spans="1:7">
      <c r="A470">
        <v>1988</v>
      </c>
      <c r="B470">
        <v>9.0999999999999998E-2</v>
      </c>
      <c r="C470">
        <v>0.17899999999999999</v>
      </c>
      <c r="D470">
        <v>0.13800000000000001</v>
      </c>
      <c r="E470">
        <v>0.36099999999999999</v>
      </c>
      <c r="F470">
        <v>1</v>
      </c>
      <c r="G470">
        <v>0.215</v>
      </c>
    </row>
    <row r="471" spans="1:7">
      <c r="A471">
        <v>1989</v>
      </c>
      <c r="B471">
        <v>9.0999999999999998E-2</v>
      </c>
      <c r="C471">
        <v>0.17899999999999999</v>
      </c>
      <c r="D471">
        <v>0.13800000000000001</v>
      </c>
      <c r="E471">
        <v>0.36099999999999999</v>
      </c>
      <c r="F471">
        <v>1</v>
      </c>
      <c r="G471">
        <v>0.215</v>
      </c>
    </row>
    <row r="472" spans="1:7">
      <c r="A472">
        <v>1990</v>
      </c>
      <c r="B472">
        <v>9.0999999999999998E-2</v>
      </c>
      <c r="C472">
        <v>0.17899999999999999</v>
      </c>
      <c r="D472">
        <v>0.13800000000000001</v>
      </c>
      <c r="E472">
        <v>0.36099999999999999</v>
      </c>
      <c r="F472">
        <v>1</v>
      </c>
      <c r="G472">
        <v>0.215</v>
      </c>
    </row>
    <row r="473" spans="1:7">
      <c r="A473">
        <v>1991</v>
      </c>
      <c r="B473">
        <v>9.0999999999999998E-2</v>
      </c>
      <c r="C473">
        <v>0.17899999999999999</v>
      </c>
      <c r="D473">
        <v>0.13800000000000001</v>
      </c>
      <c r="E473">
        <v>0.36099999999999999</v>
      </c>
      <c r="F473">
        <v>1</v>
      </c>
      <c r="G473">
        <v>0.215</v>
      </c>
    </row>
    <row r="474" spans="1:7">
      <c r="A474">
        <v>1992</v>
      </c>
      <c r="B474">
        <v>9.0999999999999998E-2</v>
      </c>
      <c r="C474">
        <v>0.17899999999999999</v>
      </c>
      <c r="D474">
        <v>0.13800000000000001</v>
      </c>
      <c r="E474">
        <v>0.36099999999999999</v>
      </c>
      <c r="F474">
        <v>1</v>
      </c>
      <c r="G474">
        <v>0.215</v>
      </c>
    </row>
    <row r="475" spans="1:7">
      <c r="A475">
        <v>1993</v>
      </c>
      <c r="B475">
        <v>9.0999999999999998E-2</v>
      </c>
      <c r="C475">
        <v>0.17899999999999999</v>
      </c>
      <c r="D475">
        <v>0.13800000000000001</v>
      </c>
      <c r="E475">
        <v>0.36099999999999999</v>
      </c>
      <c r="F475">
        <v>1</v>
      </c>
      <c r="G475">
        <v>0.215</v>
      </c>
    </row>
    <row r="476" spans="1:7">
      <c r="A476">
        <v>1994</v>
      </c>
      <c r="B476">
        <v>9.0999999999999998E-2</v>
      </c>
      <c r="C476">
        <v>0.17899999999999999</v>
      </c>
      <c r="D476">
        <v>0.13800000000000001</v>
      </c>
      <c r="E476">
        <v>0.36099999999999999</v>
      </c>
      <c r="F476">
        <v>1</v>
      </c>
      <c r="G476">
        <v>0.215</v>
      </c>
    </row>
    <row r="477" spans="1:7">
      <c r="A477">
        <v>1995</v>
      </c>
      <c r="B477">
        <v>9.0999999999999998E-2</v>
      </c>
      <c r="C477">
        <v>0.17899999999999999</v>
      </c>
      <c r="D477">
        <v>0.13800000000000001</v>
      </c>
      <c r="E477">
        <v>0.36099999999999999</v>
      </c>
      <c r="F477">
        <v>1</v>
      </c>
      <c r="G477">
        <v>0.215</v>
      </c>
    </row>
    <row r="478" spans="1:7">
      <c r="A478">
        <v>1996</v>
      </c>
      <c r="B478">
        <v>9.0999999999999998E-2</v>
      </c>
      <c r="C478">
        <v>0.17899999999999999</v>
      </c>
      <c r="D478">
        <v>0.13800000000000001</v>
      </c>
      <c r="E478">
        <v>0.36099999999999999</v>
      </c>
      <c r="F478">
        <v>1</v>
      </c>
      <c r="G478">
        <v>0.215</v>
      </c>
    </row>
    <row r="479" spans="1:7">
      <c r="A479">
        <v>1997</v>
      </c>
      <c r="B479">
        <v>9.0999999999999998E-2</v>
      </c>
      <c r="C479">
        <v>0.17899999999999999</v>
      </c>
      <c r="D479">
        <v>0.13800000000000001</v>
      </c>
      <c r="E479">
        <v>0.36099999999999999</v>
      </c>
      <c r="F479">
        <v>1</v>
      </c>
      <c r="G479">
        <v>0.215</v>
      </c>
    </row>
    <row r="480" spans="1:7">
      <c r="A480">
        <v>1998</v>
      </c>
      <c r="B480">
        <v>9.0999999999999998E-2</v>
      </c>
      <c r="C480">
        <v>0.17899999999999999</v>
      </c>
      <c r="D480">
        <v>0.13800000000000001</v>
      </c>
      <c r="E480">
        <v>0.36099999999999999</v>
      </c>
      <c r="F480">
        <v>1</v>
      </c>
      <c r="G480">
        <v>0.215</v>
      </c>
    </row>
    <row r="481" spans="1:7">
      <c r="A481">
        <v>1999</v>
      </c>
      <c r="B481">
        <v>9.0999999999999998E-2</v>
      </c>
      <c r="C481">
        <v>0.17899999999999999</v>
      </c>
      <c r="D481">
        <v>0.13800000000000001</v>
      </c>
      <c r="E481">
        <v>0.36099999999999999</v>
      </c>
      <c r="F481">
        <v>1</v>
      </c>
      <c r="G481">
        <v>0.215</v>
      </c>
    </row>
    <row r="482" spans="1:7">
      <c r="A482">
        <v>2000</v>
      </c>
      <c r="B482">
        <v>9.0999999999999998E-2</v>
      </c>
      <c r="C482">
        <v>0.17899999999999999</v>
      </c>
      <c r="D482">
        <v>0.13800000000000001</v>
      </c>
      <c r="E482">
        <v>0.36099999999999999</v>
      </c>
      <c r="F482">
        <v>1</v>
      </c>
      <c r="G482">
        <v>0.215</v>
      </c>
    </row>
    <row r="483" spans="1:7">
      <c r="A483">
        <v>2001</v>
      </c>
      <c r="B483">
        <v>9.0999999999999998E-2</v>
      </c>
      <c r="C483">
        <v>0.17899999999999999</v>
      </c>
      <c r="D483">
        <v>0.13800000000000001</v>
      </c>
      <c r="E483">
        <v>0.36099999999999999</v>
      </c>
      <c r="F483">
        <v>1</v>
      </c>
      <c r="G483">
        <v>0.215</v>
      </c>
    </row>
    <row r="484" spans="1:7">
      <c r="A484">
        <v>2002</v>
      </c>
      <c r="B484">
        <v>9.0999999999999998E-2</v>
      </c>
      <c r="C484">
        <v>0.17899999999999999</v>
      </c>
      <c r="D484">
        <v>0.13800000000000001</v>
      </c>
      <c r="E484">
        <v>0.36099999999999999</v>
      </c>
      <c r="F484">
        <v>1</v>
      </c>
      <c r="G484">
        <v>0.215</v>
      </c>
    </row>
    <row r="485" spans="1:7">
      <c r="A485">
        <v>2003</v>
      </c>
      <c r="B485">
        <v>9.0999999999999998E-2</v>
      </c>
      <c r="C485">
        <v>0.17899999999999999</v>
      </c>
      <c r="D485">
        <v>0.13800000000000001</v>
      </c>
      <c r="E485">
        <v>0.36099999999999999</v>
      </c>
      <c r="F485">
        <v>1</v>
      </c>
      <c r="G485">
        <v>0.215</v>
      </c>
    </row>
    <row r="486" spans="1:7">
      <c r="A486">
        <v>2004</v>
      </c>
      <c r="B486">
        <v>9.0999999999999998E-2</v>
      </c>
      <c r="C486">
        <v>0.17899999999999999</v>
      </c>
      <c r="D486">
        <v>0.13800000000000001</v>
      </c>
      <c r="E486">
        <v>0.36099999999999999</v>
      </c>
      <c r="F486">
        <v>1</v>
      </c>
      <c r="G486">
        <v>0.215</v>
      </c>
    </row>
    <row r="487" spans="1:7">
      <c r="A487">
        <v>2005</v>
      </c>
      <c r="B487">
        <v>9.0999999999999998E-2</v>
      </c>
      <c r="C487">
        <v>0.17899999999999999</v>
      </c>
      <c r="D487">
        <v>0.13800000000000001</v>
      </c>
      <c r="E487">
        <v>0.36099999999999999</v>
      </c>
      <c r="F487">
        <v>1</v>
      </c>
      <c r="G487">
        <v>0.215</v>
      </c>
    </row>
    <row r="488" spans="1:7">
      <c r="A488">
        <v>2006</v>
      </c>
      <c r="B488">
        <v>9.0999999999999998E-2</v>
      </c>
      <c r="C488">
        <v>0.17899999999999999</v>
      </c>
      <c r="D488">
        <v>0.13800000000000001</v>
      </c>
      <c r="E488">
        <v>0.36099999999999999</v>
      </c>
      <c r="F488">
        <v>1</v>
      </c>
      <c r="G488">
        <v>0.215</v>
      </c>
    </row>
    <row r="499" spans="1:2">
      <c r="A499" t="str">
        <f>'Titles and Variables'!C26</f>
        <v>EU-DAKAR</v>
      </c>
      <c r="B499" t="s">
        <v>61</v>
      </c>
    </row>
    <row r="549" spans="1:2">
      <c r="A549" t="str">
        <f>'Titles and Variables'!C27</f>
        <v>URU-LL</v>
      </c>
      <c r="B549" t="s">
        <v>61</v>
      </c>
    </row>
    <row r="599" spans="1:2">
      <c r="A599" t="str">
        <f>'Titles and Variables'!C28</f>
        <v>BRA-URU-LL</v>
      </c>
      <c r="B599" t="s">
        <v>61</v>
      </c>
    </row>
    <row r="649" spans="1:2">
      <c r="A649" t="str">
        <f>'Titles and Variables'!C29</f>
        <v>CHIN-TAI-LL</v>
      </c>
      <c r="B649" t="s">
        <v>61</v>
      </c>
    </row>
    <row r="699" spans="1:2">
      <c r="A699" t="str">
        <f>'Titles and Variables'!C30</f>
        <v>TROP-PS</v>
      </c>
      <c r="B699" t="s">
        <v>61</v>
      </c>
    </row>
    <row r="749" spans="1:2">
      <c r="A749" t="str">
        <f>'Titles and Variables'!C31</f>
        <v>CAN-IS-BB</v>
      </c>
      <c r="B749" t="s">
        <v>61</v>
      </c>
    </row>
    <row r="799" spans="1:2">
      <c r="A799" t="str">
        <f>'Titles and Variables'!C32</f>
        <v>NOT-USED</v>
      </c>
      <c r="B799" t="s">
        <v>61</v>
      </c>
    </row>
    <row r="849" spans="1:2">
      <c r="A849" t="str">
        <f>'Titles and Variables'!C33</f>
        <v>NOT-USED</v>
      </c>
      <c r="B849" t="s">
        <v>61</v>
      </c>
    </row>
    <row r="899" spans="1:2">
      <c r="A899" t="str">
        <f>'Titles and Variables'!C34</f>
        <v>NOT-USED</v>
      </c>
      <c r="B899" t="s">
        <v>61</v>
      </c>
    </row>
    <row r="949" spans="1:2">
      <c r="A949" t="str">
        <f>'Titles and Variables'!C35</f>
        <v>NOT-USED</v>
      </c>
      <c r="B949" t="s">
        <v>61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Load VPA Results</vt:lpstr>
      <vt:lpstr>Titles and Variables</vt:lpstr>
      <vt:lpstr>Table1-FAA</vt:lpstr>
      <vt:lpstr>Table2-NAA</vt:lpstr>
      <vt:lpstr>Table3-CAA</vt:lpstr>
      <vt:lpstr>Table4-SSB-R</vt:lpstr>
      <vt:lpstr>Indices-Reg1</vt:lpstr>
      <vt:lpstr>Selectivity-Reg1</vt:lpstr>
      <vt:lpstr>Selectivity Figs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</dc:creator>
  <cp:lastModifiedBy>Shannon L. Cass-Calay</cp:lastModifiedBy>
  <dcterms:created xsi:type="dcterms:W3CDTF">2005-12-13T15:04:32Z</dcterms:created>
  <dcterms:modified xsi:type="dcterms:W3CDTF">2008-07-26T15:11:30Z</dcterms:modified>
</cp:coreProperties>
</file>