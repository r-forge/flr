
<file path=[Content_Types].xml><?xml version="1.0" encoding="utf-8"?>
<Types xmlns="http://schemas.openxmlformats.org/package/2006/content-types"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charts/chart78.xml" ContentType="application/vnd.openxmlformats-officedocument.drawingml.chart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charts/chart49.xml" ContentType="application/vnd.openxmlformats-officedocument.drawingml.chart+xml"/>
  <Override PartName="/xl/charts/chart67.xml" ContentType="application/vnd.openxmlformats-officedocument.drawingml.chart+xml"/>
  <Override PartName="/xl/worksheets/sheet3.xml" ContentType="application/vnd.openxmlformats-officedocument.spreadsheetml.worksheet+xml"/>
  <Override PartName="/xl/activeX/activeX1.xml" ContentType="application/vnd.ms-office.activeX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charts/chart65.xml" ContentType="application/vnd.openxmlformats-officedocument.drawingml.chart+xml"/>
  <Override PartName="/xl/charts/chart74.xml" ContentType="application/vnd.openxmlformats-officedocument.drawingml.chart+xml"/>
  <Override PartName="/xl/charts/chart83.xml" ContentType="application/vnd.openxmlformats-officedocument.drawingml.chart+xml"/>
  <Override PartName="/xl/charts/chart85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charts/chart63.xml" ContentType="application/vnd.openxmlformats-officedocument.drawingml.chart+xml"/>
  <Override PartName="/xl/charts/chart72.xml" ContentType="application/vnd.openxmlformats-officedocument.drawingml.chart+xml"/>
  <Override PartName="/xl/charts/chart81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70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chart79.xml" ContentType="application/vnd.openxmlformats-officedocument.drawingml.chart+xml"/>
  <Override PartName="/xl/charts/chart88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77.xml" ContentType="application/vnd.openxmlformats-officedocument.drawingml.chart+xml"/>
  <Override PartName="/xl/charts/chart86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75.xml" ContentType="application/vnd.openxmlformats-officedocument.drawingml.chart+xml"/>
  <Override PartName="/xl/charts/chart84.xml" ContentType="application/vnd.openxmlformats-officedocument.drawingml.chart+xml"/>
  <Default Extension="vml" ContentType="application/vnd.openxmlformats-officedocument.vmlDrawing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charts/chart73.xml" ContentType="application/vnd.openxmlformats-officedocument.drawingml.chart+xml"/>
  <Override PartName="/xl/charts/chart82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71.xml" ContentType="application/vnd.openxmlformats-officedocument.drawingml.chart+xml"/>
  <Override PartName="/xl/charts/chart80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69.xml" ContentType="application/vnd.openxmlformats-officedocument.drawingml.chart+xml"/>
  <Default Extension="rels" ContentType="application/vnd.openxmlformats-package.relationships+xml"/>
  <Override PartName="/xl/worksheets/sheet5.xml" ContentType="application/vnd.openxmlformats-officedocument.spreadsheetml.worksheet+xml"/>
  <Override PartName="/xl/charts/chart29.xml" ContentType="application/vnd.openxmlformats-officedocument.drawingml.chart+xml"/>
  <Override PartName="/xl/charts/chart58.xml" ContentType="application/vnd.openxmlformats-officedocument.drawingml.chart+xml"/>
  <Override PartName="/xl/charts/chart76.xml" ContentType="application/vnd.openxmlformats-officedocument.drawingml.chart+xml"/>
  <Override PartName="/xl/charts/chart87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 defaultThemeVersion="124226"/>
  <bookViews>
    <workbookView xWindow="30" yWindow="-15" windowWidth="5565" windowHeight="5310" firstSheet="2" activeTab="8"/>
  </bookViews>
  <sheets>
    <sheet name="Load VPA Results" sheetId="7" r:id="rId1"/>
    <sheet name="Titles and Variables" sheetId="51" r:id="rId2"/>
    <sheet name="Table1-FAA" sheetId="13" r:id="rId3"/>
    <sheet name="Table2-NAA" sheetId="14" r:id="rId4"/>
    <sheet name="Table3-CAA" sheetId="15" r:id="rId5"/>
    <sheet name="Table4-SSB-R" sheetId="16" r:id="rId6"/>
    <sheet name="Indices-Reg1" sheetId="17" r:id="rId7"/>
    <sheet name="Selectivity-Reg1" sheetId="63" r:id="rId8"/>
    <sheet name="Selectivity-Figures" sheetId="64" r:id="rId9"/>
  </sheets>
  <functionGroups/>
  <calcPr calcId="125725"/>
</workbook>
</file>

<file path=xl/calcChain.xml><?xml version="1.0" encoding="utf-8"?>
<calcChain xmlns="http://schemas.openxmlformats.org/spreadsheetml/2006/main">
  <c r="A949" i="64"/>
  <c r="A899"/>
  <c r="A849"/>
  <c r="A799"/>
  <c r="A749"/>
  <c r="A699"/>
  <c r="A649"/>
  <c r="A599"/>
  <c r="A549"/>
  <c r="A499"/>
  <c r="A449"/>
  <c r="A399"/>
  <c r="A349"/>
  <c r="A299"/>
  <c r="A249"/>
  <c r="A199"/>
  <c r="A149"/>
  <c r="A99"/>
  <c r="A49"/>
  <c r="A1"/>
  <c r="AI5" i="13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"/>
  <c r="C1" l="1"/>
  <c r="D1"/>
  <c r="E1"/>
  <c r="F1"/>
  <c r="G1"/>
  <c r="B1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"/>
  <c r="E17" i="51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16"/>
  <c r="AF5" i="14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3"/>
  <c r="AF44"/>
  <c r="AF45"/>
  <c r="AF46"/>
  <c r="AF47"/>
  <c r="AF48"/>
  <c r="AF49"/>
  <c r="AF50"/>
  <c r="AF51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649" i="63"/>
  <c r="A599"/>
  <c r="A549"/>
  <c r="A499"/>
  <c r="A449"/>
  <c r="A399"/>
  <c r="A349"/>
  <c r="A299"/>
  <c r="A249"/>
  <c r="A199"/>
  <c r="A149"/>
  <c r="A99"/>
  <c r="A49"/>
  <c r="A1"/>
  <c r="AF5" i="1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4" i="14"/>
  <c r="AF4" i="15"/>
  <c r="AF100" i="13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I18" i="51"/>
  <c r="I19"/>
  <c r="I20"/>
  <c r="I21"/>
  <c r="I22"/>
  <c r="I23"/>
  <c r="I24"/>
  <c r="I17"/>
  <c r="B3"/>
  <c r="B16"/>
  <c r="B17"/>
  <c r="O1" i="17" s="1"/>
  <c r="B18" i="51"/>
  <c r="Z1" i="17" s="1"/>
  <c r="B19" i="51"/>
  <c r="AL1" i="17" s="1"/>
  <c r="B20" i="51"/>
  <c r="AX1" i="17" s="1"/>
  <c r="B21" i="51"/>
  <c r="BJ1" i="17" s="1"/>
  <c r="B22" i="51"/>
  <c r="BV1" i="17" s="1"/>
  <c r="B23" i="51"/>
  <c r="CH1" i="17" s="1"/>
  <c r="B24" i="51"/>
  <c r="CT1" i="17" s="1"/>
  <c r="B25" i="51"/>
  <c r="DF1" i="17" s="1"/>
  <c r="B26" i="51"/>
  <c r="DR1" i="17" s="1"/>
  <c r="B27" i="51"/>
  <c r="ED1" i="17" s="1"/>
  <c r="B28" i="51"/>
  <c r="EP1" i="17" s="1"/>
  <c r="B29" i="51"/>
  <c r="FB1" i="17" s="1"/>
  <c r="B30" i="51"/>
  <c r="FN1" i="17" s="1"/>
  <c r="B31" i="51"/>
  <c r="FZ1" i="17" s="1"/>
  <c r="B32" i="51"/>
  <c r="GL1" i="17" s="1"/>
  <c r="B33" i="51"/>
  <c r="GX1" i="17" s="1"/>
  <c r="B34" i="51"/>
  <c r="HJ1" i="17" s="1"/>
  <c r="B35" i="51"/>
  <c r="HW1" i="17"/>
  <c r="HV1"/>
  <c r="HK1"/>
  <c r="GY1"/>
  <c r="GM1"/>
  <c r="GA1"/>
  <c r="FO1"/>
  <c r="FC1"/>
  <c r="EQ1"/>
  <c r="EE1"/>
  <c r="DS1"/>
  <c r="DG1"/>
  <c r="CU1"/>
  <c r="CI1"/>
  <c r="BW1"/>
  <c r="BK1"/>
  <c r="A699" i="63"/>
  <c r="A749"/>
  <c r="A799"/>
  <c r="A849"/>
  <c r="A899"/>
  <c r="A949"/>
  <c r="D1" i="17"/>
  <c r="F1"/>
  <c r="Q1"/>
  <c r="AB1"/>
  <c r="AN1"/>
  <c r="AZ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F4" i="13"/>
  <c r="I8" i="51"/>
  <c r="I9"/>
  <c r="I10"/>
  <c r="I11"/>
  <c r="I12"/>
  <c r="I13"/>
  <c r="I14"/>
  <c r="I15"/>
</calcChain>
</file>

<file path=xl/sharedStrings.xml><?xml version="1.0" encoding="utf-8"?>
<sst xmlns="http://schemas.openxmlformats.org/spreadsheetml/2006/main" count="1137" uniqueCount="126">
  <si>
    <t>YEAR</t>
  </si>
  <si>
    <t>Last Year</t>
  </si>
  <si>
    <t xml:space="preserve">Fishing Mortality Rate </t>
  </si>
  <si>
    <t>REGION</t>
  </si>
  <si>
    <t>AGE 1</t>
  </si>
  <si>
    <t>AGE 2</t>
  </si>
  <si>
    <t>AGE 3</t>
  </si>
  <si>
    <t>AGE 4</t>
  </si>
  <si>
    <t>AGE 5</t>
  </si>
  <si>
    <t>AGE 6</t>
  </si>
  <si>
    <t>AGE 7</t>
  </si>
  <si>
    <t>AGE 8</t>
  </si>
  <si>
    <t>AGE 9</t>
  </si>
  <si>
    <t>AGE 10</t>
  </si>
  <si>
    <t>AGE 12</t>
  </si>
  <si>
    <t>AGE 13</t>
  </si>
  <si>
    <t>AGE 14</t>
  </si>
  <si>
    <t>AGE 15</t>
  </si>
  <si>
    <t>AGE 16</t>
  </si>
  <si>
    <t>AGE 17</t>
  </si>
  <si>
    <t>AGE 18</t>
  </si>
  <si>
    <t>AGE 19</t>
  </si>
  <si>
    <t>AGE 20</t>
  </si>
  <si>
    <t>AGE 21</t>
  </si>
  <si>
    <t>AGE 22</t>
  </si>
  <si>
    <t>AGE 23</t>
  </si>
  <si>
    <t>AGE 24</t>
  </si>
  <si>
    <t>AGE 25</t>
  </si>
  <si>
    <t>AGE 26</t>
  </si>
  <si>
    <t>AGE 27</t>
  </si>
  <si>
    <t>AGE 28</t>
  </si>
  <si>
    <t>AGE 29</t>
  </si>
  <si>
    <t>Abundance at Age</t>
  </si>
  <si>
    <t>Catch at Age</t>
  </si>
  <si>
    <t>Spawing Stock Biomass and Recuitment</t>
  </si>
  <si>
    <t>Region</t>
  </si>
  <si>
    <t>Recruits from VPA</t>
  </si>
  <si>
    <t>Spawning Biomass</t>
  </si>
  <si>
    <t>Apical F</t>
  </si>
  <si>
    <t>sum</t>
  </si>
  <si>
    <t>Ref Line</t>
  </si>
  <si>
    <t>Names of Regions or Zones</t>
  </si>
  <si>
    <t>Region 1</t>
  </si>
  <si>
    <t>Region 2</t>
  </si>
  <si>
    <t>Titles for Indices of Abundance</t>
  </si>
  <si>
    <t>Index</t>
  </si>
  <si>
    <t>Title</t>
  </si>
  <si>
    <t>First Year</t>
  </si>
  <si>
    <t>NumYears</t>
  </si>
  <si>
    <t>First Age</t>
  </si>
  <si>
    <t>Last Age</t>
  </si>
  <si>
    <t>Plus Group Age</t>
  </si>
  <si>
    <t>Other Chart Titles</t>
  </si>
  <si>
    <t>Fishing Mortality Rate</t>
  </si>
  <si>
    <t>Number-at-Age</t>
  </si>
  <si>
    <t>Catch-at-Age</t>
  </si>
  <si>
    <t>Recruitment</t>
  </si>
  <si>
    <t>F-at-Age</t>
  </si>
  <si>
    <t>Abundance</t>
  </si>
  <si>
    <t>Total Catch</t>
  </si>
  <si>
    <t>Press this button to get and plot the results of the VPA.</t>
  </si>
  <si>
    <t xml:space="preserve"> -  Relative Selectivity by Age</t>
  </si>
  <si>
    <t>Obs</t>
  </si>
  <si>
    <t>Pred</t>
  </si>
  <si>
    <t>Residual</t>
  </si>
  <si>
    <t>Chi-Square Discrepancy</t>
  </si>
  <si>
    <t>Reference</t>
  </si>
  <si>
    <t>Number of Zones</t>
  </si>
  <si>
    <t>Year</t>
  </si>
  <si>
    <t>----</t>
  </si>
  <si>
    <t>Selectivities</t>
  </si>
  <si>
    <t>by</t>
  </si>
  <si>
    <t>age</t>
  </si>
  <si>
    <t>-----</t>
  </si>
  <si>
    <t>F Ratio</t>
  </si>
  <si>
    <t>Relative Index</t>
  </si>
  <si>
    <t>BRA_LL</t>
  </si>
  <si>
    <t>BRA_BB</t>
  </si>
  <si>
    <t>JPN_LL</t>
  </si>
  <si>
    <t>USMEX_LL</t>
  </si>
  <si>
    <t>US_RR</t>
  </si>
  <si>
    <t>US_PLL ATL</t>
  </si>
  <si>
    <t>VEN_LL</t>
  </si>
  <si>
    <t>VEN_PS</t>
  </si>
  <si>
    <t>EUR-FAD-PS</t>
  </si>
  <si>
    <t>EUR-PS 3%</t>
  </si>
  <si>
    <t>EU-DAKAR</t>
  </si>
  <si>
    <t>URU-LL</t>
  </si>
  <si>
    <t>BRA-URU-LL</t>
  </si>
  <si>
    <t>CHIN-TAI-LL</t>
  </si>
  <si>
    <t>TROP-PS</t>
  </si>
  <si>
    <t>CAN-IS-BB</t>
  </si>
  <si>
    <t>NOT-USED</t>
  </si>
  <si>
    <t>ATL</t>
  </si>
  <si>
    <t>AGE 11</t>
  </si>
  <si>
    <t>AGE 0</t>
  </si>
  <si>
    <t>Geomean (2003-2006)</t>
  </si>
  <si>
    <t>Lognormal</t>
  </si>
  <si>
    <t>dist.</t>
  </si>
  <si>
    <t>month</t>
  </si>
  <si>
    <t>biomass</t>
  </si>
  <si>
    <t>Ages</t>
  </si>
  <si>
    <t>-</t>
  </si>
  <si>
    <t>log-likelihood</t>
  </si>
  <si>
    <t>=</t>
  </si>
  <si>
    <t>deviance</t>
  </si>
  <si>
    <t>Chi-sq.</t>
  </si>
  <si>
    <t>discrepancy=</t>
  </si>
  <si>
    <t>Residuals</t>
  </si>
  <si>
    <t>Standard</t>
  </si>
  <si>
    <t>Q</t>
  </si>
  <si>
    <t>Untransfrmd</t>
  </si>
  <si>
    <t>Chi-square</t>
  </si>
  <si>
    <t>Observed</t>
  </si>
  <si>
    <t>Predicted</t>
  </si>
  <si>
    <t>(Obs-pred)</t>
  </si>
  <si>
    <t>Deviation</t>
  </si>
  <si>
    <t>Catchabil.</t>
  </si>
  <si>
    <t>Discrepancy</t>
  </si>
  <si>
    <t>-----------</t>
  </si>
  <si>
    <t>numbers</t>
  </si>
  <si>
    <t>Not</t>
  </si>
  <si>
    <t>used</t>
  </si>
  <si>
    <t>Avg F 0-2</t>
  </si>
  <si>
    <t>Avg F 3-5+</t>
  </si>
  <si>
    <t>RELATIVE SELECTIVITY</t>
  </si>
</sst>
</file>

<file path=xl/styles.xml><?xml version="1.0" encoding="utf-8"?>
<styleSheet xmlns="http://schemas.openxmlformats.org/spreadsheetml/2006/main">
  <fonts count="7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3" fillId="0" borderId="0" xfId="0" applyFont="1"/>
    <xf numFmtId="0" fontId="4" fillId="0" borderId="0" xfId="0" applyFont="1"/>
    <xf numFmtId="0" fontId="2" fillId="0" borderId="0" xfId="0" applyFont="1"/>
    <xf numFmtId="0" fontId="0" fillId="3" borderId="0" xfId="0" applyFill="1"/>
    <xf numFmtId="0" fontId="5" fillId="0" borderId="0" xfId="0" applyFont="1"/>
    <xf numFmtId="0" fontId="6" fillId="0" borderId="0" xfId="0" applyFont="1"/>
    <xf numFmtId="0" fontId="0" fillId="0" borderId="0" xfId="0" quotePrefix="1"/>
    <xf numFmtId="2" fontId="0" fillId="0" borderId="0" xfId="0" applyNumberFormat="1"/>
    <xf numFmtId="0" fontId="5" fillId="0" borderId="0" xfId="0" applyNumberFormat="1" applyFont="1" applyAlignment="1">
      <alignment horizontal="left" vertical="center"/>
    </xf>
    <xf numFmtId="0" fontId="5" fillId="2" borderId="0" xfId="0" applyFont="1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LoadVBA2BOX"/>
  <ax:ocxPr ax:name="Size" ax:value="5159;222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Variables'!$I$8:$J$8</c:f>
          <c:strCache>
            <c:ptCount val="1"/>
            <c:pt idx="0">
              <c:v>ATL Fishing Mortality Rate</c:v>
            </c:pt>
          </c:strCache>
        </c:strRef>
      </c:tx>
      <c:layout>
        <c:manualLayout>
          <c:xMode val="edge"/>
          <c:yMode val="edge"/>
          <c:x val="0.28432978809839182"/>
          <c:y val="3.1476997578692663E-2"/>
        </c:manualLayout>
      </c:layout>
    </c:title>
    <c:plotArea>
      <c:layout>
        <c:manualLayout>
          <c:layoutTarget val="inner"/>
          <c:xMode val="edge"/>
          <c:yMode val="edge"/>
          <c:x val="0.16801305660359497"/>
          <c:y val="0.19128329297820823"/>
          <c:w val="0.71966079791808868"/>
          <c:h val="0.5883777239709409"/>
        </c:manualLayout>
      </c:layout>
      <c:scatterChart>
        <c:scatterStyle val="lineMarker"/>
        <c:ser>
          <c:idx val="0"/>
          <c:order val="0"/>
          <c:tx>
            <c:strRef>
              <c:f>'Table1-FAA'!$AF$3</c:f>
              <c:strCache>
                <c:ptCount val="1"/>
                <c:pt idx="0">
                  <c:v>Apical F</c:v>
                </c:pt>
              </c:strCache>
            </c:strRef>
          </c:tx>
          <c:xVal>
            <c:numRef>
              <c:f>'Table1-FAA'!$A$4:$A$100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'Table1-FAA'!$AF$4:$AF$100</c:f>
              <c:numCache>
                <c:formatCode>General</c:formatCode>
                <c:ptCount val="97"/>
                <c:pt idx="0">
                  <c:v>0.59899999999999998</c:v>
                </c:pt>
                <c:pt idx="1">
                  <c:v>0.46700000000000003</c:v>
                </c:pt>
                <c:pt idx="2">
                  <c:v>0.499</c:v>
                </c:pt>
                <c:pt idx="3">
                  <c:v>0.57599999999999996</c:v>
                </c:pt>
                <c:pt idx="4">
                  <c:v>0.63700000000000001</c:v>
                </c:pt>
                <c:pt idx="5">
                  <c:v>0.999</c:v>
                </c:pt>
                <c:pt idx="6">
                  <c:v>1.2190000000000001</c:v>
                </c:pt>
                <c:pt idx="7">
                  <c:v>1.3080000000000001</c:v>
                </c:pt>
                <c:pt idx="8">
                  <c:v>0.96399999999999997</c:v>
                </c:pt>
                <c:pt idx="9">
                  <c:v>0.94</c:v>
                </c:pt>
                <c:pt idx="10">
                  <c:v>0.82599999999999996</c:v>
                </c:pt>
                <c:pt idx="11">
                  <c:v>1.1919999999999999</c:v>
                </c:pt>
                <c:pt idx="12">
                  <c:v>1.4079999999999999</c:v>
                </c:pt>
                <c:pt idx="13">
                  <c:v>2.0379999999999998</c:v>
                </c:pt>
                <c:pt idx="14">
                  <c:v>0.79700000000000004</c:v>
                </c:pt>
                <c:pt idx="15">
                  <c:v>1.5580000000000001</c:v>
                </c:pt>
                <c:pt idx="16">
                  <c:v>1.4410000000000001</c:v>
                </c:pt>
                <c:pt idx="17">
                  <c:v>1.4039999999999999</c:v>
                </c:pt>
                <c:pt idx="18">
                  <c:v>0.73499999999999999</c:v>
                </c:pt>
                <c:pt idx="19">
                  <c:v>1.093</c:v>
                </c:pt>
                <c:pt idx="20">
                  <c:v>1.446</c:v>
                </c:pt>
                <c:pt idx="21">
                  <c:v>1.331</c:v>
                </c:pt>
                <c:pt idx="22">
                  <c:v>1.5409999999999999</c:v>
                </c:pt>
                <c:pt idx="23">
                  <c:v>1.3140000000000001</c:v>
                </c:pt>
                <c:pt idx="24">
                  <c:v>1.4810000000000001</c:v>
                </c:pt>
                <c:pt idx="25">
                  <c:v>1.371</c:v>
                </c:pt>
                <c:pt idx="26">
                  <c:v>1.177</c:v>
                </c:pt>
                <c:pt idx="27">
                  <c:v>0.96</c:v>
                </c:pt>
                <c:pt idx="28">
                  <c:v>1.1619999999999999</c:v>
                </c:pt>
                <c:pt idx="29">
                  <c:v>0.91300000000000003</c:v>
                </c:pt>
                <c:pt idx="30">
                  <c:v>0.90500000000000003</c:v>
                </c:pt>
                <c:pt idx="31">
                  <c:v>1.153</c:v>
                </c:pt>
                <c:pt idx="32">
                  <c:v>0.9</c:v>
                </c:pt>
                <c:pt idx="33">
                  <c:v>0.90700000000000003</c:v>
                </c:pt>
                <c:pt idx="34">
                  <c:v>1.0269999999999999</c:v>
                </c:pt>
                <c:pt idx="35">
                  <c:v>1.1240000000000001</c:v>
                </c:pt>
                <c:pt idx="36">
                  <c:v>1.6020000000000001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yVal>
        </c:ser>
        <c:axId val="65276160"/>
        <c:axId val="56801152"/>
      </c:scatterChart>
      <c:valAx>
        <c:axId val="6527616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Year</a:t>
                </a:r>
              </a:p>
            </c:rich>
          </c:tx>
          <c:layout>
            <c:manualLayout>
              <c:xMode val="edge"/>
              <c:yMode val="edge"/>
              <c:x val="0.42487917198793945"/>
              <c:y val="0.8861985472154966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600"/>
            </a:pPr>
            <a:endParaRPr lang="en-US"/>
          </a:p>
        </c:txPr>
        <c:crossAx val="56801152"/>
        <c:crosses val="autoZero"/>
        <c:crossBetween val="midCat"/>
        <c:majorUnit val="5"/>
        <c:minorUnit val="3.8539999999999988"/>
      </c:valAx>
      <c:valAx>
        <c:axId val="568011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Apical</a:t>
                </a:r>
                <a:r>
                  <a:rPr lang="en-US" sz="1600" baseline="0"/>
                  <a:t> F</a:t>
                </a:r>
                <a:endParaRPr lang="en-US" sz="1600"/>
              </a:p>
            </c:rich>
          </c:tx>
          <c:layout>
            <c:manualLayout>
              <c:xMode val="edge"/>
              <c:yMode val="edge"/>
              <c:x val="2.5848162554399354E-2"/>
              <c:y val="0.23486682808716741"/>
            </c:manualLayout>
          </c:layout>
        </c:title>
        <c:numFmt formatCode="0.00" sourceLinked="0"/>
        <c:tickLblPos val="nextTo"/>
        <c:txPr>
          <a:bodyPr rot="0" vert="horz"/>
          <a:lstStyle/>
          <a:p>
            <a:pPr>
              <a:defRPr sz="1400"/>
            </a:pPr>
            <a:endParaRPr lang="en-US"/>
          </a:p>
        </c:txPr>
        <c:crossAx val="65276160"/>
        <c:crosses val="autoZero"/>
        <c:crossBetween val="midCat"/>
      </c:valAx>
    </c:plotArea>
    <c:plotVisOnly val="1"/>
    <c:dispBlanksAs val="gap"/>
  </c:chart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'Table1-FAA'!$AG$3</c:f>
              <c:strCache>
                <c:ptCount val="1"/>
                <c:pt idx="0">
                  <c:v>F Ratio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'Table1-FAA'!$AG$4:$AG$40</c:f>
              <c:numCache>
                <c:formatCode>0.00</c:formatCode>
                <c:ptCount val="37"/>
                <c:pt idx="0">
                  <c:v>0.48247078464106841</c:v>
                </c:pt>
                <c:pt idx="1">
                  <c:v>0.4817987152034261</c:v>
                </c:pt>
                <c:pt idx="2">
                  <c:v>0.48296593186372744</c:v>
                </c:pt>
                <c:pt idx="3">
                  <c:v>0.48263888888888895</c:v>
                </c:pt>
                <c:pt idx="4">
                  <c:v>0.48194662480376765</c:v>
                </c:pt>
                <c:pt idx="5">
                  <c:v>0.48248248248248249</c:v>
                </c:pt>
                <c:pt idx="6">
                  <c:v>0.48236259228876122</c:v>
                </c:pt>
                <c:pt idx="7">
                  <c:v>0.48241590214067276</c:v>
                </c:pt>
                <c:pt idx="8">
                  <c:v>0.48236514522821583</c:v>
                </c:pt>
                <c:pt idx="9">
                  <c:v>0.48191489361702133</c:v>
                </c:pt>
                <c:pt idx="10">
                  <c:v>0.48184019370460052</c:v>
                </c:pt>
                <c:pt idx="11">
                  <c:v>0.48238255033557043</c:v>
                </c:pt>
                <c:pt idx="12">
                  <c:v>0.48224431818181823</c:v>
                </c:pt>
                <c:pt idx="13">
                  <c:v>0.48233562315996076</c:v>
                </c:pt>
                <c:pt idx="14">
                  <c:v>0.48306148055207027</c:v>
                </c:pt>
                <c:pt idx="15">
                  <c:v>0.4820282413350449</c:v>
                </c:pt>
                <c:pt idx="16">
                  <c:v>0.48230395558639827</c:v>
                </c:pt>
                <c:pt idx="17">
                  <c:v>0.48219373219373224</c:v>
                </c:pt>
                <c:pt idx="18">
                  <c:v>0.48163265306122449</c:v>
                </c:pt>
                <c:pt idx="19">
                  <c:v>0.48215919487648679</c:v>
                </c:pt>
                <c:pt idx="20">
                  <c:v>0.48271092669432919</c:v>
                </c:pt>
                <c:pt idx="21">
                  <c:v>0.48234410217881296</c:v>
                </c:pt>
                <c:pt idx="22">
                  <c:v>0.48215444516547701</c:v>
                </c:pt>
                <c:pt idx="23">
                  <c:v>0.48249619482496192</c:v>
                </c:pt>
                <c:pt idx="24">
                  <c:v>0.48210668467251849</c:v>
                </c:pt>
                <c:pt idx="25">
                  <c:v>0.48212983223924144</c:v>
                </c:pt>
                <c:pt idx="26">
                  <c:v>0.48258283772302457</c:v>
                </c:pt>
                <c:pt idx="27">
                  <c:v>0.48229166666666673</c:v>
                </c:pt>
                <c:pt idx="28">
                  <c:v>0.48192771084337355</c:v>
                </c:pt>
                <c:pt idx="29">
                  <c:v>0.48192771084337349</c:v>
                </c:pt>
                <c:pt idx="30">
                  <c:v>0.48176795580110493</c:v>
                </c:pt>
                <c:pt idx="31">
                  <c:v>0.48222029488291418</c:v>
                </c:pt>
                <c:pt idx="32">
                  <c:v>0.48222222222222222</c:v>
                </c:pt>
                <c:pt idx="33">
                  <c:v>0.48291069459757441</c:v>
                </c:pt>
                <c:pt idx="34">
                  <c:v>0.48198636806231748</c:v>
                </c:pt>
                <c:pt idx="35">
                  <c:v>0.48220640569395018</c:v>
                </c:pt>
                <c:pt idx="36">
                  <c:v>0.48189762796504371</c:v>
                </c:pt>
              </c:numCache>
            </c:numRef>
          </c:yVal>
        </c:ser>
        <c:axId val="65277312"/>
        <c:axId val="65901696"/>
      </c:scatterChart>
      <c:valAx>
        <c:axId val="6527731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65901696"/>
        <c:crosses val="autoZero"/>
        <c:crossBetween val="midCat"/>
      </c:valAx>
      <c:valAx>
        <c:axId val="659016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F Ratio (F5+/F4)</a:t>
                </a:r>
              </a:p>
            </c:rich>
          </c:tx>
          <c:layout/>
        </c:title>
        <c:numFmt formatCode="0.00" sourceLinked="1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65277312"/>
        <c:crosses val="autoZero"/>
        <c:crossBetween val="midCat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Terminal FAA (2003-2006)</a:t>
            </a:r>
          </a:p>
        </c:rich>
      </c:tx>
      <c:layout>
        <c:manualLayout>
          <c:xMode val="edge"/>
          <c:yMode val="edge"/>
          <c:x val="0.20424732697886464"/>
          <c:y val="4.7445255474452462E-2"/>
        </c:manualLayout>
      </c:layout>
    </c:title>
    <c:plotArea>
      <c:layout/>
      <c:scatterChart>
        <c:scatterStyle val="lineMarker"/>
        <c:ser>
          <c:idx val="0"/>
          <c:order val="0"/>
          <c:tx>
            <c:strRef>
              <c:f>'Table1-FAA'!$A$37</c:f>
              <c:strCache>
                <c:ptCount val="1"/>
                <c:pt idx="0">
                  <c:v>2003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'Table1-FAA'!$B$37:$G$37</c:f>
              <c:numCache>
                <c:formatCode>General</c:formatCode>
                <c:ptCount val="6"/>
                <c:pt idx="0">
                  <c:v>0.184</c:v>
                </c:pt>
                <c:pt idx="1">
                  <c:v>0.66</c:v>
                </c:pt>
                <c:pt idx="2">
                  <c:v>0.24199999999999999</c:v>
                </c:pt>
                <c:pt idx="3">
                  <c:v>0.56799999999999995</c:v>
                </c:pt>
                <c:pt idx="4">
                  <c:v>0.90700000000000003</c:v>
                </c:pt>
                <c:pt idx="5">
                  <c:v>0.438</c:v>
                </c:pt>
              </c:numCache>
            </c:numRef>
          </c:yVal>
        </c:ser>
        <c:ser>
          <c:idx val="1"/>
          <c:order val="1"/>
          <c:tx>
            <c:strRef>
              <c:f>'Table1-FAA'!$A$38</c:f>
              <c:strCache>
                <c:ptCount val="1"/>
                <c:pt idx="0">
                  <c:v>2004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'Table1-FAA'!$B$38:$G$38</c:f>
              <c:numCache>
                <c:formatCode>General</c:formatCode>
                <c:ptCount val="6"/>
                <c:pt idx="0">
                  <c:v>0.185</c:v>
                </c:pt>
                <c:pt idx="1">
                  <c:v>0.46600000000000003</c:v>
                </c:pt>
                <c:pt idx="2">
                  <c:v>0.373</c:v>
                </c:pt>
                <c:pt idx="3">
                  <c:v>0.55700000000000005</c:v>
                </c:pt>
                <c:pt idx="4">
                  <c:v>1.0269999999999999</c:v>
                </c:pt>
                <c:pt idx="5">
                  <c:v>0.495</c:v>
                </c:pt>
              </c:numCache>
            </c:numRef>
          </c:yVal>
        </c:ser>
        <c:ser>
          <c:idx val="2"/>
          <c:order val="2"/>
          <c:tx>
            <c:strRef>
              <c:f>'Table1-FAA'!$A$39</c:f>
              <c:strCache>
                <c:ptCount val="1"/>
                <c:pt idx="0">
                  <c:v>2005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'Table1-FAA'!$B$39:$G$39</c:f>
              <c:numCache>
                <c:formatCode>General</c:formatCode>
                <c:ptCount val="6"/>
                <c:pt idx="0">
                  <c:v>0.14799999999999999</c:v>
                </c:pt>
                <c:pt idx="1">
                  <c:v>0.54700000000000004</c:v>
                </c:pt>
                <c:pt idx="2">
                  <c:v>0.21099999999999999</c:v>
                </c:pt>
                <c:pt idx="3">
                  <c:v>0.52500000000000002</c:v>
                </c:pt>
                <c:pt idx="4">
                  <c:v>1.1240000000000001</c:v>
                </c:pt>
                <c:pt idx="5">
                  <c:v>0.54200000000000004</c:v>
                </c:pt>
              </c:numCache>
            </c:numRef>
          </c:yVal>
        </c:ser>
        <c:ser>
          <c:idx val="3"/>
          <c:order val="3"/>
          <c:tx>
            <c:strRef>
              <c:f>'Table1-FAA'!$A$40</c:f>
              <c:strCache>
                <c:ptCount val="1"/>
                <c:pt idx="0">
                  <c:v>2006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'Table1-FAA'!$B$40:$G$40</c:f>
              <c:numCache>
                <c:formatCode>General</c:formatCode>
                <c:ptCount val="6"/>
                <c:pt idx="0">
                  <c:v>0.11899999999999999</c:v>
                </c:pt>
                <c:pt idx="1">
                  <c:v>0.27400000000000002</c:v>
                </c:pt>
                <c:pt idx="2">
                  <c:v>0.32100000000000001</c:v>
                </c:pt>
                <c:pt idx="3">
                  <c:v>0.44400000000000001</c:v>
                </c:pt>
                <c:pt idx="4">
                  <c:v>1.6020000000000001</c:v>
                </c:pt>
                <c:pt idx="5">
                  <c:v>0.77200000000000002</c:v>
                </c:pt>
              </c:numCache>
            </c:numRef>
          </c:yVal>
        </c:ser>
        <c:ser>
          <c:idx val="5"/>
          <c:order val="4"/>
          <c:tx>
            <c:strRef>
              <c:f>'Table1-FAA'!$A$1</c:f>
              <c:strCache>
                <c:ptCount val="1"/>
                <c:pt idx="0">
                  <c:v>Geomean (2003-2006)</c:v>
                </c:pt>
              </c:strCache>
            </c:strRef>
          </c:tx>
          <c:spPr>
            <a:ln w="5397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'Table1-FAA'!$B$1:$G$1</c:f>
              <c:numCache>
                <c:formatCode>General</c:formatCode>
                <c:ptCount val="6"/>
                <c:pt idx="0">
                  <c:v>0.15647665623091658</c:v>
                </c:pt>
                <c:pt idx="1">
                  <c:v>0.46335828776366511</c:v>
                </c:pt>
                <c:pt idx="2">
                  <c:v>0.27962623896277672</c:v>
                </c:pt>
                <c:pt idx="3">
                  <c:v>0.52111845195809303</c:v>
                </c:pt>
                <c:pt idx="4">
                  <c:v>1.1380245695089861</c:v>
                </c:pt>
                <c:pt idx="5">
                  <c:v>0.54881247419603074</c:v>
                </c:pt>
              </c:numCache>
            </c:numRef>
          </c:yVal>
        </c:ser>
        <c:axId val="66843776"/>
        <c:axId val="66880256"/>
      </c:scatterChart>
      <c:valAx>
        <c:axId val="668437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AGE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66880256"/>
        <c:crosses val="autoZero"/>
        <c:crossBetween val="midCat"/>
      </c:valAx>
      <c:valAx>
        <c:axId val="668802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Fishing Mortality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66843776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1100"/>
          </a:pPr>
          <a:endParaRPr lang="en-US"/>
        </a:p>
      </c:txPr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Variables'!$J$9</c:f>
          <c:strCache>
            <c:ptCount val="1"/>
            <c:pt idx="0">
              <c:v>F-at-Age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'Table1-FAA'!$B$3</c:f>
              <c:strCache>
                <c:ptCount val="1"/>
                <c:pt idx="0">
                  <c:v>AGE 0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'Table1-FAA'!$B$4:$B$40</c:f>
              <c:numCache>
                <c:formatCode>General</c:formatCode>
                <c:ptCount val="37"/>
                <c:pt idx="0">
                  <c:v>1.2E-2</c:v>
                </c:pt>
                <c:pt idx="1">
                  <c:v>1.0999999999999999E-2</c:v>
                </c:pt>
                <c:pt idx="2">
                  <c:v>1.4E-2</c:v>
                </c:pt>
                <c:pt idx="3">
                  <c:v>8.0000000000000002E-3</c:v>
                </c:pt>
                <c:pt idx="4">
                  <c:v>2.9000000000000001E-2</c:v>
                </c:pt>
                <c:pt idx="5">
                  <c:v>4.8000000000000001E-2</c:v>
                </c:pt>
                <c:pt idx="6">
                  <c:v>5.1999999999999998E-2</c:v>
                </c:pt>
                <c:pt idx="7">
                  <c:v>3.9E-2</c:v>
                </c:pt>
                <c:pt idx="8">
                  <c:v>4.4999999999999998E-2</c:v>
                </c:pt>
                <c:pt idx="9">
                  <c:v>5.3999999999999999E-2</c:v>
                </c:pt>
                <c:pt idx="10">
                  <c:v>9.9000000000000005E-2</c:v>
                </c:pt>
                <c:pt idx="11">
                  <c:v>0.14699999999999999</c:v>
                </c:pt>
                <c:pt idx="12">
                  <c:v>6.8000000000000005E-2</c:v>
                </c:pt>
                <c:pt idx="13">
                  <c:v>8.5999999999999993E-2</c:v>
                </c:pt>
                <c:pt idx="14">
                  <c:v>7.4999999999999997E-2</c:v>
                </c:pt>
                <c:pt idx="15">
                  <c:v>8.5000000000000006E-2</c:v>
                </c:pt>
                <c:pt idx="16">
                  <c:v>8.1000000000000003E-2</c:v>
                </c:pt>
                <c:pt idx="17">
                  <c:v>0.13800000000000001</c:v>
                </c:pt>
                <c:pt idx="18">
                  <c:v>0.129</c:v>
                </c:pt>
                <c:pt idx="19">
                  <c:v>0.126</c:v>
                </c:pt>
                <c:pt idx="20">
                  <c:v>0.14799999999999999</c:v>
                </c:pt>
                <c:pt idx="21">
                  <c:v>0.14399999999999999</c:v>
                </c:pt>
                <c:pt idx="22">
                  <c:v>0.13</c:v>
                </c:pt>
                <c:pt idx="23">
                  <c:v>0.16900000000000001</c:v>
                </c:pt>
                <c:pt idx="24">
                  <c:v>0.123</c:v>
                </c:pt>
                <c:pt idx="25">
                  <c:v>0.13400000000000001</c:v>
                </c:pt>
                <c:pt idx="26">
                  <c:v>0.13700000000000001</c:v>
                </c:pt>
                <c:pt idx="27">
                  <c:v>0.11</c:v>
                </c:pt>
                <c:pt idx="28">
                  <c:v>8.8999999999999996E-2</c:v>
                </c:pt>
                <c:pt idx="29">
                  <c:v>0.14399999999999999</c:v>
                </c:pt>
                <c:pt idx="30">
                  <c:v>0.189</c:v>
                </c:pt>
                <c:pt idx="31">
                  <c:v>0.17599999999999999</c:v>
                </c:pt>
                <c:pt idx="32">
                  <c:v>0.20100000000000001</c:v>
                </c:pt>
                <c:pt idx="33">
                  <c:v>0.184</c:v>
                </c:pt>
                <c:pt idx="34">
                  <c:v>0.185</c:v>
                </c:pt>
                <c:pt idx="35">
                  <c:v>0.14799999999999999</c:v>
                </c:pt>
                <c:pt idx="36">
                  <c:v>0.11899999999999999</c:v>
                </c:pt>
              </c:numCache>
            </c:numRef>
          </c:yVal>
        </c:ser>
        <c:ser>
          <c:idx val="1"/>
          <c:order val="1"/>
          <c:tx>
            <c:strRef>
              <c:f>'Table1-FAA'!$C$3</c:f>
              <c:strCache>
                <c:ptCount val="1"/>
                <c:pt idx="0">
                  <c:v>AGE 1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'Table1-FAA'!$C$4:$C$40</c:f>
              <c:numCache>
                <c:formatCode>General</c:formatCode>
                <c:ptCount val="37"/>
                <c:pt idx="0">
                  <c:v>0.182</c:v>
                </c:pt>
                <c:pt idx="1">
                  <c:v>0.156</c:v>
                </c:pt>
                <c:pt idx="2">
                  <c:v>0.157</c:v>
                </c:pt>
                <c:pt idx="3">
                  <c:v>0.13800000000000001</c:v>
                </c:pt>
                <c:pt idx="4">
                  <c:v>0.20300000000000001</c:v>
                </c:pt>
                <c:pt idx="5">
                  <c:v>0.22600000000000001</c:v>
                </c:pt>
                <c:pt idx="6">
                  <c:v>0.23799999999999999</c:v>
                </c:pt>
                <c:pt idx="7">
                  <c:v>0.247</c:v>
                </c:pt>
                <c:pt idx="8">
                  <c:v>0.24399999999999999</c:v>
                </c:pt>
                <c:pt idx="9">
                  <c:v>0.27300000000000002</c:v>
                </c:pt>
                <c:pt idx="10">
                  <c:v>0.27700000000000002</c:v>
                </c:pt>
                <c:pt idx="11">
                  <c:v>0.34</c:v>
                </c:pt>
                <c:pt idx="12">
                  <c:v>0.42799999999999999</c:v>
                </c:pt>
                <c:pt idx="13">
                  <c:v>0.31900000000000001</c:v>
                </c:pt>
                <c:pt idx="14">
                  <c:v>0.38100000000000001</c:v>
                </c:pt>
                <c:pt idx="15">
                  <c:v>0.28399999999999997</c:v>
                </c:pt>
                <c:pt idx="16">
                  <c:v>0.224</c:v>
                </c:pt>
                <c:pt idx="17">
                  <c:v>0.24399999999999999</c:v>
                </c:pt>
                <c:pt idx="18">
                  <c:v>0.30099999999999999</c:v>
                </c:pt>
                <c:pt idx="19">
                  <c:v>0.28699999999999998</c:v>
                </c:pt>
                <c:pt idx="20">
                  <c:v>0.35499999999999998</c:v>
                </c:pt>
                <c:pt idx="21">
                  <c:v>0.33200000000000002</c:v>
                </c:pt>
                <c:pt idx="22">
                  <c:v>0.318</c:v>
                </c:pt>
                <c:pt idx="23">
                  <c:v>0.31</c:v>
                </c:pt>
                <c:pt idx="24">
                  <c:v>0.35899999999999999</c:v>
                </c:pt>
                <c:pt idx="25">
                  <c:v>0.33</c:v>
                </c:pt>
                <c:pt idx="26">
                  <c:v>0.39800000000000002</c:v>
                </c:pt>
                <c:pt idx="27">
                  <c:v>0.441</c:v>
                </c:pt>
                <c:pt idx="28">
                  <c:v>0.44500000000000001</c:v>
                </c:pt>
                <c:pt idx="29">
                  <c:v>0.59399999999999997</c:v>
                </c:pt>
                <c:pt idx="30">
                  <c:v>0.39400000000000002</c:v>
                </c:pt>
                <c:pt idx="31">
                  <c:v>0.76800000000000002</c:v>
                </c:pt>
                <c:pt idx="32">
                  <c:v>0.60299999999999998</c:v>
                </c:pt>
                <c:pt idx="33">
                  <c:v>0.66</c:v>
                </c:pt>
                <c:pt idx="34">
                  <c:v>0.46600000000000003</c:v>
                </c:pt>
                <c:pt idx="35">
                  <c:v>0.54700000000000004</c:v>
                </c:pt>
                <c:pt idx="36">
                  <c:v>0.27400000000000002</c:v>
                </c:pt>
              </c:numCache>
            </c:numRef>
          </c:yVal>
        </c:ser>
        <c:ser>
          <c:idx val="2"/>
          <c:order val="2"/>
          <c:tx>
            <c:strRef>
              <c:f>'Table1-FAA'!$D$3</c:f>
              <c:strCache>
                <c:ptCount val="1"/>
                <c:pt idx="0">
                  <c:v>AGE 2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'Table1-FAA'!$D$4:$D$40</c:f>
              <c:numCache>
                <c:formatCode>General</c:formatCode>
                <c:ptCount val="37"/>
                <c:pt idx="0">
                  <c:v>0.17</c:v>
                </c:pt>
                <c:pt idx="1">
                  <c:v>0.26800000000000002</c:v>
                </c:pt>
                <c:pt idx="2">
                  <c:v>0.3</c:v>
                </c:pt>
                <c:pt idx="3">
                  <c:v>0.23699999999999999</c:v>
                </c:pt>
                <c:pt idx="4">
                  <c:v>0.27700000000000002</c:v>
                </c:pt>
                <c:pt idx="5">
                  <c:v>0.376</c:v>
                </c:pt>
                <c:pt idx="6">
                  <c:v>0.29499999999999998</c:v>
                </c:pt>
                <c:pt idx="7">
                  <c:v>0.29899999999999999</c:v>
                </c:pt>
                <c:pt idx="8">
                  <c:v>0.32300000000000001</c:v>
                </c:pt>
                <c:pt idx="9">
                  <c:v>0.17199999999999999</c:v>
                </c:pt>
                <c:pt idx="10">
                  <c:v>0.23899999999999999</c:v>
                </c:pt>
                <c:pt idx="11">
                  <c:v>0.27600000000000002</c:v>
                </c:pt>
                <c:pt idx="12">
                  <c:v>0.33100000000000002</c:v>
                </c:pt>
                <c:pt idx="13">
                  <c:v>0.318</c:v>
                </c:pt>
                <c:pt idx="14">
                  <c:v>0.38500000000000001</c:v>
                </c:pt>
                <c:pt idx="15">
                  <c:v>0.34699999999999998</c:v>
                </c:pt>
                <c:pt idx="16">
                  <c:v>0.23699999999999999</c:v>
                </c:pt>
                <c:pt idx="17">
                  <c:v>0.19600000000000001</c:v>
                </c:pt>
                <c:pt idx="18">
                  <c:v>0.16200000000000001</c:v>
                </c:pt>
                <c:pt idx="19">
                  <c:v>0.14699999999999999</c:v>
                </c:pt>
                <c:pt idx="20">
                  <c:v>0.17599999999999999</c:v>
                </c:pt>
                <c:pt idx="21">
                  <c:v>0.19400000000000001</c:v>
                </c:pt>
                <c:pt idx="22">
                  <c:v>0.20100000000000001</c:v>
                </c:pt>
                <c:pt idx="23">
                  <c:v>0.26500000000000001</c:v>
                </c:pt>
                <c:pt idx="24">
                  <c:v>0.36199999999999999</c:v>
                </c:pt>
                <c:pt idx="25">
                  <c:v>0.24</c:v>
                </c:pt>
                <c:pt idx="26">
                  <c:v>0.24199999999999999</c:v>
                </c:pt>
                <c:pt idx="27">
                  <c:v>0.22600000000000001</c:v>
                </c:pt>
                <c:pt idx="28">
                  <c:v>0.27300000000000002</c:v>
                </c:pt>
                <c:pt idx="29">
                  <c:v>0.32200000000000001</c:v>
                </c:pt>
                <c:pt idx="30">
                  <c:v>0.20499999999999999</c:v>
                </c:pt>
                <c:pt idx="31">
                  <c:v>0.31</c:v>
                </c:pt>
                <c:pt idx="32">
                  <c:v>0.26300000000000001</c:v>
                </c:pt>
                <c:pt idx="33">
                  <c:v>0.24199999999999999</c:v>
                </c:pt>
                <c:pt idx="34">
                  <c:v>0.373</c:v>
                </c:pt>
                <c:pt idx="35">
                  <c:v>0.21099999999999999</c:v>
                </c:pt>
                <c:pt idx="36">
                  <c:v>0.32100000000000001</c:v>
                </c:pt>
              </c:numCache>
            </c:numRef>
          </c:yVal>
        </c:ser>
        <c:ser>
          <c:idx val="3"/>
          <c:order val="3"/>
          <c:tx>
            <c:strRef>
              <c:f>'Table1-FAA'!$E$3</c:f>
              <c:strCache>
                <c:ptCount val="1"/>
                <c:pt idx="0">
                  <c:v>AGE 3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'Table1-FAA'!$E$4:$E$40</c:f>
              <c:numCache>
                <c:formatCode>General</c:formatCode>
                <c:ptCount val="37"/>
                <c:pt idx="0">
                  <c:v>0.375</c:v>
                </c:pt>
                <c:pt idx="1">
                  <c:v>0.30499999999999999</c:v>
                </c:pt>
                <c:pt idx="2">
                  <c:v>0.41499999999999998</c:v>
                </c:pt>
                <c:pt idx="3">
                  <c:v>0.42299999999999999</c:v>
                </c:pt>
                <c:pt idx="4">
                  <c:v>0.42599999999999999</c:v>
                </c:pt>
                <c:pt idx="5">
                  <c:v>0.47899999999999998</c:v>
                </c:pt>
                <c:pt idx="6">
                  <c:v>0.53800000000000003</c:v>
                </c:pt>
                <c:pt idx="7">
                  <c:v>0.56499999999999995</c:v>
                </c:pt>
                <c:pt idx="8">
                  <c:v>0.54900000000000004</c:v>
                </c:pt>
                <c:pt idx="9">
                  <c:v>0.51900000000000002</c:v>
                </c:pt>
                <c:pt idx="10">
                  <c:v>0.39</c:v>
                </c:pt>
                <c:pt idx="11">
                  <c:v>0.44800000000000001</c:v>
                </c:pt>
                <c:pt idx="12">
                  <c:v>0.628</c:v>
                </c:pt>
                <c:pt idx="13">
                  <c:v>1.038</c:v>
                </c:pt>
                <c:pt idx="14">
                  <c:v>0.42699999999999999</c:v>
                </c:pt>
                <c:pt idx="15">
                  <c:v>0.53800000000000003</c:v>
                </c:pt>
                <c:pt idx="16">
                  <c:v>0.63600000000000001</c:v>
                </c:pt>
                <c:pt idx="17">
                  <c:v>0.49199999999999999</c:v>
                </c:pt>
                <c:pt idx="18">
                  <c:v>0.433</c:v>
                </c:pt>
                <c:pt idx="19">
                  <c:v>0.41</c:v>
                </c:pt>
                <c:pt idx="20">
                  <c:v>0.52</c:v>
                </c:pt>
                <c:pt idx="21">
                  <c:v>0.497</c:v>
                </c:pt>
                <c:pt idx="22">
                  <c:v>0.54400000000000004</c:v>
                </c:pt>
                <c:pt idx="23">
                  <c:v>0.58399999999999996</c:v>
                </c:pt>
                <c:pt idx="24">
                  <c:v>0.495</c:v>
                </c:pt>
                <c:pt idx="25">
                  <c:v>0.44600000000000001</c:v>
                </c:pt>
                <c:pt idx="26">
                  <c:v>0.45100000000000001</c:v>
                </c:pt>
                <c:pt idx="27">
                  <c:v>0.36399999999999999</c:v>
                </c:pt>
                <c:pt idx="28">
                  <c:v>0.42599999999999999</c:v>
                </c:pt>
                <c:pt idx="29">
                  <c:v>0.44500000000000001</c:v>
                </c:pt>
                <c:pt idx="30">
                  <c:v>0.59799999999999998</c:v>
                </c:pt>
                <c:pt idx="31">
                  <c:v>0.52300000000000002</c:v>
                </c:pt>
                <c:pt idx="32">
                  <c:v>0.45900000000000002</c:v>
                </c:pt>
                <c:pt idx="33">
                  <c:v>0.56799999999999995</c:v>
                </c:pt>
                <c:pt idx="34">
                  <c:v>0.55700000000000005</c:v>
                </c:pt>
                <c:pt idx="35">
                  <c:v>0.52500000000000002</c:v>
                </c:pt>
                <c:pt idx="36">
                  <c:v>0.44400000000000001</c:v>
                </c:pt>
              </c:numCache>
            </c:numRef>
          </c:yVal>
        </c:ser>
        <c:ser>
          <c:idx val="4"/>
          <c:order val="4"/>
          <c:tx>
            <c:strRef>
              <c:f>'Table1-FAA'!$F$3</c:f>
              <c:strCache>
                <c:ptCount val="1"/>
                <c:pt idx="0">
                  <c:v>AGE 4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'Table1-FAA'!$F$4:$F$40</c:f>
              <c:numCache>
                <c:formatCode>General</c:formatCode>
                <c:ptCount val="37"/>
                <c:pt idx="0">
                  <c:v>0.59899999999999998</c:v>
                </c:pt>
                <c:pt idx="1">
                  <c:v>0.46700000000000003</c:v>
                </c:pt>
                <c:pt idx="2">
                  <c:v>0.499</c:v>
                </c:pt>
                <c:pt idx="3">
                  <c:v>0.57599999999999996</c:v>
                </c:pt>
                <c:pt idx="4">
                  <c:v>0.63700000000000001</c:v>
                </c:pt>
                <c:pt idx="5">
                  <c:v>0.999</c:v>
                </c:pt>
                <c:pt idx="6">
                  <c:v>1.2190000000000001</c:v>
                </c:pt>
                <c:pt idx="7">
                  <c:v>1.3080000000000001</c:v>
                </c:pt>
                <c:pt idx="8">
                  <c:v>0.96399999999999997</c:v>
                </c:pt>
                <c:pt idx="9">
                  <c:v>0.94</c:v>
                </c:pt>
                <c:pt idx="10">
                  <c:v>0.82599999999999996</c:v>
                </c:pt>
                <c:pt idx="11">
                  <c:v>1.1919999999999999</c:v>
                </c:pt>
                <c:pt idx="12">
                  <c:v>1.4079999999999999</c:v>
                </c:pt>
                <c:pt idx="13">
                  <c:v>2.0379999999999998</c:v>
                </c:pt>
                <c:pt idx="14">
                  <c:v>0.79700000000000004</c:v>
                </c:pt>
                <c:pt idx="15">
                  <c:v>1.5580000000000001</c:v>
                </c:pt>
                <c:pt idx="16">
                  <c:v>1.4410000000000001</c:v>
                </c:pt>
                <c:pt idx="17">
                  <c:v>1.4039999999999999</c:v>
                </c:pt>
                <c:pt idx="18">
                  <c:v>0.73499999999999999</c:v>
                </c:pt>
                <c:pt idx="19">
                  <c:v>1.093</c:v>
                </c:pt>
                <c:pt idx="20">
                  <c:v>1.446</c:v>
                </c:pt>
                <c:pt idx="21">
                  <c:v>1.331</c:v>
                </c:pt>
                <c:pt idx="22">
                  <c:v>1.5409999999999999</c:v>
                </c:pt>
                <c:pt idx="23">
                  <c:v>1.3140000000000001</c:v>
                </c:pt>
                <c:pt idx="24">
                  <c:v>1.4810000000000001</c:v>
                </c:pt>
                <c:pt idx="25">
                  <c:v>1.371</c:v>
                </c:pt>
                <c:pt idx="26">
                  <c:v>1.177</c:v>
                </c:pt>
                <c:pt idx="27">
                  <c:v>0.96</c:v>
                </c:pt>
                <c:pt idx="28">
                  <c:v>1.1619999999999999</c:v>
                </c:pt>
                <c:pt idx="29">
                  <c:v>0.91300000000000003</c:v>
                </c:pt>
                <c:pt idx="30">
                  <c:v>0.90500000000000003</c:v>
                </c:pt>
                <c:pt idx="31">
                  <c:v>1.153</c:v>
                </c:pt>
                <c:pt idx="32">
                  <c:v>0.9</c:v>
                </c:pt>
                <c:pt idx="33">
                  <c:v>0.90700000000000003</c:v>
                </c:pt>
                <c:pt idx="34">
                  <c:v>1.0269999999999999</c:v>
                </c:pt>
                <c:pt idx="35">
                  <c:v>1.1240000000000001</c:v>
                </c:pt>
                <c:pt idx="36">
                  <c:v>1.6020000000000001</c:v>
                </c:pt>
              </c:numCache>
            </c:numRef>
          </c:yVal>
        </c:ser>
        <c:ser>
          <c:idx val="5"/>
          <c:order val="5"/>
          <c:tx>
            <c:strRef>
              <c:f>'Table1-FAA'!$G$3</c:f>
              <c:strCache>
                <c:ptCount val="1"/>
                <c:pt idx="0">
                  <c:v>AGE 5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'Table1-FAA'!$G$4:$G$40</c:f>
              <c:numCache>
                <c:formatCode>General</c:formatCode>
                <c:ptCount val="37"/>
                <c:pt idx="0">
                  <c:v>0.28899999999999998</c:v>
                </c:pt>
                <c:pt idx="1">
                  <c:v>0.22500000000000001</c:v>
                </c:pt>
                <c:pt idx="2">
                  <c:v>0.24099999999999999</c:v>
                </c:pt>
                <c:pt idx="3">
                  <c:v>0.27800000000000002</c:v>
                </c:pt>
                <c:pt idx="4">
                  <c:v>0.307</c:v>
                </c:pt>
                <c:pt idx="5">
                  <c:v>0.48199999999999998</c:v>
                </c:pt>
                <c:pt idx="6">
                  <c:v>0.58799999999999997</c:v>
                </c:pt>
                <c:pt idx="7">
                  <c:v>0.63100000000000001</c:v>
                </c:pt>
                <c:pt idx="8">
                  <c:v>0.46500000000000002</c:v>
                </c:pt>
                <c:pt idx="9">
                  <c:v>0.45300000000000001</c:v>
                </c:pt>
                <c:pt idx="10">
                  <c:v>0.39800000000000002</c:v>
                </c:pt>
                <c:pt idx="11">
                  <c:v>0.57499999999999996</c:v>
                </c:pt>
                <c:pt idx="12">
                  <c:v>0.67900000000000005</c:v>
                </c:pt>
                <c:pt idx="13">
                  <c:v>0.98299999999999998</c:v>
                </c:pt>
                <c:pt idx="14">
                  <c:v>0.38500000000000001</c:v>
                </c:pt>
                <c:pt idx="15">
                  <c:v>0.751</c:v>
                </c:pt>
                <c:pt idx="16">
                  <c:v>0.69499999999999995</c:v>
                </c:pt>
                <c:pt idx="17">
                  <c:v>0.67700000000000005</c:v>
                </c:pt>
                <c:pt idx="18">
                  <c:v>0.35399999999999998</c:v>
                </c:pt>
                <c:pt idx="19">
                  <c:v>0.52700000000000002</c:v>
                </c:pt>
                <c:pt idx="20">
                  <c:v>0.69799999999999995</c:v>
                </c:pt>
                <c:pt idx="21">
                  <c:v>0.64200000000000002</c:v>
                </c:pt>
                <c:pt idx="22">
                  <c:v>0.74299999999999999</c:v>
                </c:pt>
                <c:pt idx="23">
                  <c:v>0.63400000000000001</c:v>
                </c:pt>
                <c:pt idx="24">
                  <c:v>0.71399999999999997</c:v>
                </c:pt>
                <c:pt idx="25">
                  <c:v>0.66100000000000003</c:v>
                </c:pt>
                <c:pt idx="26">
                  <c:v>0.56799999999999995</c:v>
                </c:pt>
                <c:pt idx="27">
                  <c:v>0.46300000000000002</c:v>
                </c:pt>
                <c:pt idx="28">
                  <c:v>0.56000000000000005</c:v>
                </c:pt>
                <c:pt idx="29">
                  <c:v>0.44</c:v>
                </c:pt>
                <c:pt idx="30">
                  <c:v>0.436</c:v>
                </c:pt>
                <c:pt idx="31">
                  <c:v>0.55600000000000005</c:v>
                </c:pt>
                <c:pt idx="32">
                  <c:v>0.434</c:v>
                </c:pt>
                <c:pt idx="33">
                  <c:v>0.438</c:v>
                </c:pt>
                <c:pt idx="34">
                  <c:v>0.495</c:v>
                </c:pt>
                <c:pt idx="35">
                  <c:v>0.54200000000000004</c:v>
                </c:pt>
                <c:pt idx="36">
                  <c:v>0.77200000000000002</c:v>
                </c:pt>
              </c:numCache>
            </c:numRef>
          </c:yVal>
        </c:ser>
        <c:axId val="95396224"/>
        <c:axId val="95398528"/>
      </c:scatterChart>
      <c:valAx>
        <c:axId val="9539622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5398528"/>
        <c:crosses val="autoZero"/>
        <c:crossBetween val="midCat"/>
      </c:valAx>
      <c:valAx>
        <c:axId val="953985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Fishing Mortality Rate 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5396224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Variables'!$J$9</c:f>
          <c:strCache>
            <c:ptCount val="1"/>
            <c:pt idx="0">
              <c:v>F-at-Age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'Table1-FAA'!$AH$3</c:f>
              <c:strCache>
                <c:ptCount val="1"/>
                <c:pt idx="0">
                  <c:v>Avg F 0-2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'Table1-FAA'!$AH$4:$AH$40</c:f>
              <c:numCache>
                <c:formatCode>General</c:formatCode>
                <c:ptCount val="37"/>
                <c:pt idx="0">
                  <c:v>0.12133333333333333</c:v>
                </c:pt>
                <c:pt idx="1">
                  <c:v>0.14500000000000002</c:v>
                </c:pt>
                <c:pt idx="2">
                  <c:v>0.157</c:v>
                </c:pt>
                <c:pt idx="3">
                  <c:v>0.12766666666666668</c:v>
                </c:pt>
                <c:pt idx="4">
                  <c:v>0.16966666666666666</c:v>
                </c:pt>
                <c:pt idx="5">
                  <c:v>0.21666666666666667</c:v>
                </c:pt>
                <c:pt idx="6">
                  <c:v>0.19499999999999998</c:v>
                </c:pt>
                <c:pt idx="7">
                  <c:v>0.19499999999999998</c:v>
                </c:pt>
                <c:pt idx="8">
                  <c:v>0.20399999999999999</c:v>
                </c:pt>
                <c:pt idx="9">
                  <c:v>0.16633333333333333</c:v>
                </c:pt>
                <c:pt idx="10">
                  <c:v>0.20499999999999999</c:v>
                </c:pt>
                <c:pt idx="11">
                  <c:v>0.25433333333333336</c:v>
                </c:pt>
                <c:pt idx="12">
                  <c:v>0.27566666666666667</c:v>
                </c:pt>
                <c:pt idx="13">
                  <c:v>0.24100000000000002</c:v>
                </c:pt>
                <c:pt idx="14">
                  <c:v>0.28033333333333332</c:v>
                </c:pt>
                <c:pt idx="15">
                  <c:v>0.23866666666666667</c:v>
                </c:pt>
                <c:pt idx="16">
                  <c:v>0.18066666666666667</c:v>
                </c:pt>
                <c:pt idx="17">
                  <c:v>0.19266666666666668</c:v>
                </c:pt>
                <c:pt idx="18">
                  <c:v>0.19733333333333333</c:v>
                </c:pt>
                <c:pt idx="19">
                  <c:v>0.18666666666666665</c:v>
                </c:pt>
                <c:pt idx="20">
                  <c:v>0.22633333333333336</c:v>
                </c:pt>
                <c:pt idx="21">
                  <c:v>0.2233333333333333</c:v>
                </c:pt>
                <c:pt idx="22">
                  <c:v>0.21633333333333335</c:v>
                </c:pt>
                <c:pt idx="23">
                  <c:v>0.248</c:v>
                </c:pt>
                <c:pt idx="24">
                  <c:v>0.28133333333333332</c:v>
                </c:pt>
                <c:pt idx="25">
                  <c:v>0.23466666666666666</c:v>
                </c:pt>
                <c:pt idx="26">
                  <c:v>0.25900000000000001</c:v>
                </c:pt>
                <c:pt idx="27">
                  <c:v>0.25900000000000001</c:v>
                </c:pt>
                <c:pt idx="28">
                  <c:v>0.26900000000000002</c:v>
                </c:pt>
                <c:pt idx="29">
                  <c:v>0.35333333333333333</c:v>
                </c:pt>
                <c:pt idx="30">
                  <c:v>0.26266666666666666</c:v>
                </c:pt>
                <c:pt idx="31">
                  <c:v>0.41799999999999998</c:v>
                </c:pt>
                <c:pt idx="32">
                  <c:v>0.35566666666666674</c:v>
                </c:pt>
                <c:pt idx="33">
                  <c:v>0.36200000000000004</c:v>
                </c:pt>
                <c:pt idx="34">
                  <c:v>0.34133333333333332</c:v>
                </c:pt>
                <c:pt idx="35">
                  <c:v>0.30199999999999999</c:v>
                </c:pt>
                <c:pt idx="36">
                  <c:v>0.23799999999999999</c:v>
                </c:pt>
              </c:numCache>
            </c:numRef>
          </c:yVal>
        </c:ser>
        <c:ser>
          <c:idx val="1"/>
          <c:order val="1"/>
          <c:tx>
            <c:strRef>
              <c:f>'Table1-FAA'!$AI$3</c:f>
              <c:strCache>
                <c:ptCount val="1"/>
                <c:pt idx="0">
                  <c:v>Avg F 3-5+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'Table1-FAA'!$AI$4:$AI$40</c:f>
              <c:numCache>
                <c:formatCode>General</c:formatCode>
                <c:ptCount val="37"/>
                <c:pt idx="0">
                  <c:v>0.42099999999999999</c:v>
                </c:pt>
                <c:pt idx="1">
                  <c:v>0.33233333333333331</c:v>
                </c:pt>
                <c:pt idx="2">
                  <c:v>0.38499999999999995</c:v>
                </c:pt>
                <c:pt idx="3">
                  <c:v>0.42566666666666664</c:v>
                </c:pt>
                <c:pt idx="4">
                  <c:v>0.45666666666666661</c:v>
                </c:pt>
                <c:pt idx="5">
                  <c:v>0.65333333333333332</c:v>
                </c:pt>
                <c:pt idx="6">
                  <c:v>0.78166666666666673</c:v>
                </c:pt>
                <c:pt idx="7">
                  <c:v>0.83466666666666667</c:v>
                </c:pt>
                <c:pt idx="8">
                  <c:v>0.65933333333333333</c:v>
                </c:pt>
                <c:pt idx="9">
                  <c:v>0.63733333333333342</c:v>
                </c:pt>
                <c:pt idx="10">
                  <c:v>0.53799999999999992</c:v>
                </c:pt>
                <c:pt idx="11">
                  <c:v>0.73833333333333329</c:v>
                </c:pt>
                <c:pt idx="12">
                  <c:v>0.90499999999999992</c:v>
                </c:pt>
                <c:pt idx="13">
                  <c:v>1.3529999999999998</c:v>
                </c:pt>
                <c:pt idx="14">
                  <c:v>0.53633333333333333</c:v>
                </c:pt>
                <c:pt idx="15">
                  <c:v>0.94899999999999995</c:v>
                </c:pt>
                <c:pt idx="16">
                  <c:v>0.92399999999999993</c:v>
                </c:pt>
                <c:pt idx="17">
                  <c:v>0.85766666666666669</c:v>
                </c:pt>
                <c:pt idx="18">
                  <c:v>0.5073333333333333</c:v>
                </c:pt>
                <c:pt idx="19">
                  <c:v>0.67666666666666664</c:v>
                </c:pt>
                <c:pt idx="20">
                  <c:v>0.8879999999999999</c:v>
                </c:pt>
                <c:pt idx="21">
                  <c:v>0.82333333333333325</c:v>
                </c:pt>
                <c:pt idx="22">
                  <c:v>0.94266666666666665</c:v>
                </c:pt>
                <c:pt idx="23">
                  <c:v>0.84399999999999997</c:v>
                </c:pt>
                <c:pt idx="24">
                  <c:v>0.89666666666666661</c:v>
                </c:pt>
                <c:pt idx="25">
                  <c:v>0.82599999999999996</c:v>
                </c:pt>
                <c:pt idx="26">
                  <c:v>0.7320000000000001</c:v>
                </c:pt>
                <c:pt idx="27">
                  <c:v>0.59566666666666668</c:v>
                </c:pt>
                <c:pt idx="28">
                  <c:v>0.71599999999999986</c:v>
                </c:pt>
                <c:pt idx="29">
                  <c:v>0.59933333333333338</c:v>
                </c:pt>
                <c:pt idx="30">
                  <c:v>0.64633333333333332</c:v>
                </c:pt>
                <c:pt idx="31">
                  <c:v>0.74400000000000011</c:v>
                </c:pt>
                <c:pt idx="32">
                  <c:v>0.59766666666666668</c:v>
                </c:pt>
                <c:pt idx="33">
                  <c:v>0.63766666666666671</c:v>
                </c:pt>
                <c:pt idx="34">
                  <c:v>0.69300000000000006</c:v>
                </c:pt>
                <c:pt idx="35">
                  <c:v>0.73033333333333328</c:v>
                </c:pt>
                <c:pt idx="36">
                  <c:v>0.93933333333333346</c:v>
                </c:pt>
              </c:numCache>
            </c:numRef>
          </c:yVal>
        </c:ser>
        <c:axId val="108870656"/>
        <c:axId val="108917888"/>
      </c:scatterChart>
      <c:valAx>
        <c:axId val="10887065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8917888"/>
        <c:crosses val="autoZero"/>
        <c:crossBetween val="midCat"/>
      </c:valAx>
      <c:valAx>
        <c:axId val="108917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Fishing Mortality Rate 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8870656"/>
        <c:crosses val="autoZero"/>
        <c:crossBetween val="midCat"/>
      </c:valAx>
    </c:plotArea>
    <c:legend>
      <c:legendPos val="r"/>
      <c:layout/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Variables'!$I$11:$J$11</c:f>
          <c:strCache>
            <c:ptCount val="1"/>
            <c:pt idx="0">
              <c:v>ATL Abundance</c:v>
            </c:pt>
          </c:strCache>
        </c:strRef>
      </c:tx>
      <c:layout>
        <c:manualLayout>
          <c:xMode val="edge"/>
          <c:yMode val="edge"/>
          <c:x val="0.36187427576159076"/>
          <c:y val="3.1476997578692663E-2"/>
        </c:manualLayout>
      </c:layout>
    </c:title>
    <c:plotArea>
      <c:layout>
        <c:manualLayout>
          <c:layoutTarget val="inner"/>
          <c:xMode val="edge"/>
          <c:yMode val="edge"/>
          <c:x val="0.18739917851939536"/>
          <c:y val="0.19128329297820823"/>
          <c:w val="0.63651100290208162"/>
          <c:h val="0.5447941888619855"/>
        </c:manualLayout>
      </c:layout>
      <c:scatterChart>
        <c:scatterStyle val="lineMarker"/>
        <c:ser>
          <c:idx val="0"/>
          <c:order val="0"/>
          <c:tx>
            <c:strRef>
              <c:f>'Table2-NAA'!$AF$3</c:f>
              <c:strCache>
                <c:ptCount val="1"/>
                <c:pt idx="0">
                  <c:v>sum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'Table2-NAA'!$AF$4:$AF$40</c:f>
              <c:numCache>
                <c:formatCode>General</c:formatCode>
                <c:ptCount val="37"/>
                <c:pt idx="0">
                  <c:v>72658368</c:v>
                </c:pt>
                <c:pt idx="1">
                  <c:v>76339746</c:v>
                </c:pt>
                <c:pt idx="2">
                  <c:v>72163907</c:v>
                </c:pt>
                <c:pt idx="3">
                  <c:v>73952969</c:v>
                </c:pt>
                <c:pt idx="4">
                  <c:v>76945248</c:v>
                </c:pt>
                <c:pt idx="5">
                  <c:v>88942882</c:v>
                </c:pt>
                <c:pt idx="6">
                  <c:v>97977955</c:v>
                </c:pt>
                <c:pt idx="7">
                  <c:v>95264435</c:v>
                </c:pt>
                <c:pt idx="8">
                  <c:v>90699301</c:v>
                </c:pt>
                <c:pt idx="9">
                  <c:v>91766064</c:v>
                </c:pt>
                <c:pt idx="10">
                  <c:v>86068772</c:v>
                </c:pt>
                <c:pt idx="11">
                  <c:v>104441245</c:v>
                </c:pt>
                <c:pt idx="12">
                  <c:v>97071783</c:v>
                </c:pt>
                <c:pt idx="13">
                  <c:v>111711662</c:v>
                </c:pt>
                <c:pt idx="14">
                  <c:v>100620201</c:v>
                </c:pt>
                <c:pt idx="15">
                  <c:v>113354257</c:v>
                </c:pt>
                <c:pt idx="16">
                  <c:v>113013220</c:v>
                </c:pt>
                <c:pt idx="17">
                  <c:v>114736734</c:v>
                </c:pt>
                <c:pt idx="18">
                  <c:v>103927730</c:v>
                </c:pt>
                <c:pt idx="19">
                  <c:v>110561514</c:v>
                </c:pt>
                <c:pt idx="20">
                  <c:v>113977652</c:v>
                </c:pt>
                <c:pt idx="21">
                  <c:v>109575971</c:v>
                </c:pt>
                <c:pt idx="22">
                  <c:v>113569423</c:v>
                </c:pt>
                <c:pt idx="23">
                  <c:v>122699805</c:v>
                </c:pt>
                <c:pt idx="24">
                  <c:v>107089382</c:v>
                </c:pt>
                <c:pt idx="25">
                  <c:v>99124544</c:v>
                </c:pt>
                <c:pt idx="26">
                  <c:v>98204515</c:v>
                </c:pt>
                <c:pt idx="27">
                  <c:v>106854458</c:v>
                </c:pt>
                <c:pt idx="28">
                  <c:v>128976538</c:v>
                </c:pt>
                <c:pt idx="29">
                  <c:v>114712581</c:v>
                </c:pt>
                <c:pt idx="30">
                  <c:v>109029439</c:v>
                </c:pt>
                <c:pt idx="31">
                  <c:v>105530497</c:v>
                </c:pt>
                <c:pt idx="32">
                  <c:v>91617329</c:v>
                </c:pt>
                <c:pt idx="33">
                  <c:v>89426867</c:v>
                </c:pt>
                <c:pt idx="34">
                  <c:v>91046078</c:v>
                </c:pt>
                <c:pt idx="35">
                  <c:v>92140250</c:v>
                </c:pt>
                <c:pt idx="36">
                  <c:v>92405480</c:v>
                </c:pt>
              </c:numCache>
            </c:numRef>
          </c:yVal>
        </c:ser>
        <c:axId val="109138304"/>
        <c:axId val="109141376"/>
      </c:scatterChart>
      <c:valAx>
        <c:axId val="109138304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6688243613883712"/>
              <c:y val="0.88619854721549662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109141376"/>
        <c:crosses val="autoZero"/>
        <c:crossBetween val="midCat"/>
        <c:majorUnit val="5"/>
        <c:minorUnit val="3.8539999999999988"/>
      </c:valAx>
      <c:valAx>
        <c:axId val="10914137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Abundance (Numbers)</a:t>
                </a:r>
              </a:p>
            </c:rich>
          </c:tx>
          <c:layout>
            <c:manualLayout>
              <c:xMode val="edge"/>
              <c:yMode val="edge"/>
              <c:x val="2.5848162554399354E-2"/>
              <c:y val="0.20581113801452791"/>
            </c:manualLayout>
          </c:layout>
        </c:title>
        <c:numFmt formatCode="0" sourceLinked="0"/>
        <c:tickLblPos val="nextTo"/>
        <c:txPr>
          <a:bodyPr rot="0" vert="horz"/>
          <a:lstStyle/>
          <a:p>
            <a:pPr>
              <a:defRPr sz="1400"/>
            </a:pPr>
            <a:endParaRPr lang="en-US"/>
          </a:p>
        </c:txPr>
        <c:crossAx val="109138304"/>
        <c:crosses val="autoZero"/>
        <c:crossBetween val="midCat"/>
        <c:dispUnits>
          <c:builtInUnit val="millions"/>
          <c:dispUnitsLbl>
            <c:layout>
              <c:manualLayout>
                <c:xMode val="edge"/>
                <c:yMode val="edge"/>
                <c:x val="7.75444876631977E-2"/>
                <c:y val="0.19128329297820823"/>
              </c:manualLayout>
            </c:layout>
            <c:txPr>
              <a:bodyPr rot="-5400000" vert="horz"/>
              <a:lstStyle/>
              <a:p>
                <a:pPr>
                  <a:defRPr sz="1100"/>
                </a:pPr>
                <a:endParaRPr lang="en-US"/>
              </a:p>
            </c:txPr>
          </c:dispUnitsLbl>
        </c:dispUnits>
      </c:valAx>
    </c:plotArea>
    <c:plotVisOnly val="1"/>
    <c:dispBlanksAs val="gap"/>
  </c:chart>
  <c:printSettings>
    <c:headerFooter alignWithMargins="0"/>
    <c:pageMargins b="1" l="0.750000000000002" r="0.75000000000000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Number at Age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7790781372746051"/>
          <c:y val="0.1332934131736527"/>
          <c:w val="0.60141348630725078"/>
          <c:h val="0.65097812249516762"/>
        </c:manualLayout>
      </c:layout>
      <c:scatterChart>
        <c:scatterStyle val="lineMarker"/>
        <c:ser>
          <c:idx val="0"/>
          <c:order val="0"/>
          <c:tx>
            <c:strRef>
              <c:f>'Table2-NAA'!$B$3</c:f>
              <c:strCache>
                <c:ptCount val="1"/>
                <c:pt idx="0">
                  <c:v>AGE 0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'Table2-NAA'!$B$4:$B$40</c:f>
              <c:numCache>
                <c:formatCode>General</c:formatCode>
                <c:ptCount val="37"/>
                <c:pt idx="0">
                  <c:v>44231070</c:v>
                </c:pt>
                <c:pt idx="1">
                  <c:v>45651799</c:v>
                </c:pt>
                <c:pt idx="2">
                  <c:v>39795295</c:v>
                </c:pt>
                <c:pt idx="3">
                  <c:v>43801670</c:v>
                </c:pt>
                <c:pt idx="4">
                  <c:v>45470565</c:v>
                </c:pt>
                <c:pt idx="5">
                  <c:v>57293840</c:v>
                </c:pt>
                <c:pt idx="6">
                  <c:v>62213229</c:v>
                </c:pt>
                <c:pt idx="7">
                  <c:v>55977924</c:v>
                </c:pt>
                <c:pt idx="8">
                  <c:v>52541031</c:v>
                </c:pt>
                <c:pt idx="9">
                  <c:v>55595408</c:v>
                </c:pt>
                <c:pt idx="10">
                  <c:v>49213505</c:v>
                </c:pt>
                <c:pt idx="11">
                  <c:v>71134399</c:v>
                </c:pt>
                <c:pt idx="12">
                  <c:v>58170110</c:v>
                </c:pt>
                <c:pt idx="13">
                  <c:v>75448936</c:v>
                </c:pt>
                <c:pt idx="14">
                  <c:v>57706541</c:v>
                </c:pt>
                <c:pt idx="15">
                  <c:v>75458671</c:v>
                </c:pt>
                <c:pt idx="16">
                  <c:v>68909667</c:v>
                </c:pt>
                <c:pt idx="17">
                  <c:v>70226028</c:v>
                </c:pt>
                <c:pt idx="18">
                  <c:v>59961091</c:v>
                </c:pt>
                <c:pt idx="19">
                  <c:v>70868030</c:v>
                </c:pt>
                <c:pt idx="20">
                  <c:v>71435876</c:v>
                </c:pt>
                <c:pt idx="21">
                  <c:v>67626067</c:v>
                </c:pt>
                <c:pt idx="22">
                  <c:v>72814110</c:v>
                </c:pt>
                <c:pt idx="23">
                  <c:v>79871925</c:v>
                </c:pt>
                <c:pt idx="24">
                  <c:v>62225590</c:v>
                </c:pt>
                <c:pt idx="25">
                  <c:v>59834903</c:v>
                </c:pt>
                <c:pt idx="26">
                  <c:v>61094390</c:v>
                </c:pt>
                <c:pt idx="27">
                  <c:v>70644480</c:v>
                </c:pt>
                <c:pt idx="28">
                  <c:v>88801745</c:v>
                </c:pt>
                <c:pt idx="29">
                  <c:v>65684208</c:v>
                </c:pt>
                <c:pt idx="30">
                  <c:v>69766112</c:v>
                </c:pt>
                <c:pt idx="31">
                  <c:v>66438210</c:v>
                </c:pt>
                <c:pt idx="32">
                  <c:v>56453409</c:v>
                </c:pt>
                <c:pt idx="33">
                  <c:v>58769002</c:v>
                </c:pt>
                <c:pt idx="34">
                  <c:v>60520122</c:v>
                </c:pt>
                <c:pt idx="35">
                  <c:v>60420651</c:v>
                </c:pt>
                <c:pt idx="36">
                  <c:v>59548555</c:v>
                </c:pt>
              </c:numCache>
            </c:numRef>
          </c:yVal>
        </c:ser>
        <c:ser>
          <c:idx val="1"/>
          <c:order val="1"/>
          <c:tx>
            <c:strRef>
              <c:f>'Table2-NAA'!$C$3</c:f>
              <c:strCache>
                <c:ptCount val="1"/>
                <c:pt idx="0">
                  <c:v>AGE 1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'Table2-NAA'!$C$4:$C$40</c:f>
              <c:numCache>
                <c:formatCode>General</c:formatCode>
                <c:ptCount val="37"/>
                <c:pt idx="0">
                  <c:v>19194290</c:v>
                </c:pt>
                <c:pt idx="1">
                  <c:v>19638711</c:v>
                </c:pt>
                <c:pt idx="2">
                  <c:v>20287966</c:v>
                </c:pt>
                <c:pt idx="3">
                  <c:v>17639447</c:v>
                </c:pt>
                <c:pt idx="4">
                  <c:v>19522593</c:v>
                </c:pt>
                <c:pt idx="5">
                  <c:v>19853352</c:v>
                </c:pt>
                <c:pt idx="6">
                  <c:v>24539401</c:v>
                </c:pt>
                <c:pt idx="7">
                  <c:v>26533801</c:v>
                </c:pt>
                <c:pt idx="8">
                  <c:v>24183557</c:v>
                </c:pt>
                <c:pt idx="9">
                  <c:v>22571509</c:v>
                </c:pt>
                <c:pt idx="10">
                  <c:v>23661282</c:v>
                </c:pt>
                <c:pt idx="11">
                  <c:v>20037652</c:v>
                </c:pt>
                <c:pt idx="12">
                  <c:v>27593542</c:v>
                </c:pt>
                <c:pt idx="13">
                  <c:v>24410550</c:v>
                </c:pt>
                <c:pt idx="14">
                  <c:v>31095188</c:v>
                </c:pt>
                <c:pt idx="15">
                  <c:v>24044907</c:v>
                </c:pt>
                <c:pt idx="16">
                  <c:v>31134633</c:v>
                </c:pt>
                <c:pt idx="17">
                  <c:v>28556462</c:v>
                </c:pt>
                <c:pt idx="18">
                  <c:v>27491959</c:v>
                </c:pt>
                <c:pt idx="19">
                  <c:v>23676857</c:v>
                </c:pt>
                <c:pt idx="20">
                  <c:v>28059540</c:v>
                </c:pt>
                <c:pt idx="21">
                  <c:v>27676643</c:v>
                </c:pt>
                <c:pt idx="22">
                  <c:v>26303996</c:v>
                </c:pt>
                <c:pt idx="23">
                  <c:v>28723950</c:v>
                </c:pt>
                <c:pt idx="24">
                  <c:v>30301827</c:v>
                </c:pt>
                <c:pt idx="25">
                  <c:v>24733028</c:v>
                </c:pt>
                <c:pt idx="26">
                  <c:v>23513889</c:v>
                </c:pt>
                <c:pt idx="27">
                  <c:v>23947973</c:v>
                </c:pt>
                <c:pt idx="28">
                  <c:v>28431265</c:v>
                </c:pt>
                <c:pt idx="29">
                  <c:v>36486665</c:v>
                </c:pt>
                <c:pt idx="30">
                  <c:v>25566549</c:v>
                </c:pt>
                <c:pt idx="31">
                  <c:v>25956457</c:v>
                </c:pt>
                <c:pt idx="32">
                  <c:v>25035490</c:v>
                </c:pt>
                <c:pt idx="33">
                  <c:v>20743802</c:v>
                </c:pt>
                <c:pt idx="34">
                  <c:v>21969921</c:v>
                </c:pt>
                <c:pt idx="35">
                  <c:v>22602512</c:v>
                </c:pt>
                <c:pt idx="36">
                  <c:v>23403865</c:v>
                </c:pt>
              </c:numCache>
            </c:numRef>
          </c:yVal>
        </c:ser>
        <c:ser>
          <c:idx val="2"/>
          <c:order val="2"/>
          <c:tx>
            <c:strRef>
              <c:f>'Table2-NAA'!$D$3</c:f>
              <c:strCache>
                <c:ptCount val="1"/>
                <c:pt idx="0">
                  <c:v>AGE 2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'Table2-NAA'!$D$4:$D$40</c:f>
              <c:numCache>
                <c:formatCode>General</c:formatCode>
                <c:ptCount val="37"/>
                <c:pt idx="0">
                  <c:v>5110941</c:v>
                </c:pt>
                <c:pt idx="1">
                  <c:v>7186551</c:v>
                </c:pt>
                <c:pt idx="2">
                  <c:v>7546887</c:v>
                </c:pt>
                <c:pt idx="3">
                  <c:v>7789743</c:v>
                </c:pt>
                <c:pt idx="4">
                  <c:v>6905712</c:v>
                </c:pt>
                <c:pt idx="5">
                  <c:v>7163879</c:v>
                </c:pt>
                <c:pt idx="6">
                  <c:v>7118587</c:v>
                </c:pt>
                <c:pt idx="7">
                  <c:v>8690077</c:v>
                </c:pt>
                <c:pt idx="8">
                  <c:v>9316566</c:v>
                </c:pt>
                <c:pt idx="9">
                  <c:v>8511995</c:v>
                </c:pt>
                <c:pt idx="10">
                  <c:v>7721217</c:v>
                </c:pt>
                <c:pt idx="11">
                  <c:v>8056961</c:v>
                </c:pt>
                <c:pt idx="12">
                  <c:v>6410121</c:v>
                </c:pt>
                <c:pt idx="13">
                  <c:v>8081463</c:v>
                </c:pt>
                <c:pt idx="14">
                  <c:v>7975904</c:v>
                </c:pt>
                <c:pt idx="15">
                  <c:v>9548683</c:v>
                </c:pt>
                <c:pt idx="16">
                  <c:v>8135036</c:v>
                </c:pt>
                <c:pt idx="17">
                  <c:v>11183440</c:v>
                </c:pt>
                <c:pt idx="18">
                  <c:v>10056623</c:v>
                </c:pt>
                <c:pt idx="19">
                  <c:v>9141192</c:v>
                </c:pt>
                <c:pt idx="20">
                  <c:v>7986939</c:v>
                </c:pt>
                <c:pt idx="21">
                  <c:v>8838492</c:v>
                </c:pt>
                <c:pt idx="22">
                  <c:v>8922228</c:v>
                </c:pt>
                <c:pt idx="23">
                  <c:v>8603592</c:v>
                </c:pt>
                <c:pt idx="24">
                  <c:v>9463702</c:v>
                </c:pt>
                <c:pt idx="25">
                  <c:v>9506982</c:v>
                </c:pt>
                <c:pt idx="26">
                  <c:v>7989565</c:v>
                </c:pt>
                <c:pt idx="27">
                  <c:v>7097029</c:v>
                </c:pt>
                <c:pt idx="28">
                  <c:v>6922313</c:v>
                </c:pt>
                <c:pt idx="29">
                  <c:v>8185731</c:v>
                </c:pt>
                <c:pt idx="30">
                  <c:v>9055035</c:v>
                </c:pt>
                <c:pt idx="31">
                  <c:v>7747597</c:v>
                </c:pt>
                <c:pt idx="32">
                  <c:v>5409297</c:v>
                </c:pt>
                <c:pt idx="33">
                  <c:v>6154728</c:v>
                </c:pt>
                <c:pt idx="34">
                  <c:v>4815950</c:v>
                </c:pt>
                <c:pt idx="35">
                  <c:v>6197608</c:v>
                </c:pt>
                <c:pt idx="36">
                  <c:v>5874152</c:v>
                </c:pt>
              </c:numCache>
            </c:numRef>
          </c:yVal>
        </c:ser>
        <c:ser>
          <c:idx val="3"/>
          <c:order val="3"/>
          <c:tx>
            <c:strRef>
              <c:f>'Table2-NAA'!$E$3</c:f>
              <c:strCache>
                <c:ptCount val="1"/>
                <c:pt idx="0">
                  <c:v>AGE 3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'Table2-NAA'!$E$4:$E$40</c:f>
              <c:numCache>
                <c:formatCode>General</c:formatCode>
                <c:ptCount val="37"/>
                <c:pt idx="0">
                  <c:v>2714066</c:v>
                </c:pt>
                <c:pt idx="1">
                  <c:v>2365442</c:v>
                </c:pt>
                <c:pt idx="2">
                  <c:v>3016904</c:v>
                </c:pt>
                <c:pt idx="3">
                  <c:v>3068242</c:v>
                </c:pt>
                <c:pt idx="4">
                  <c:v>3372598</c:v>
                </c:pt>
                <c:pt idx="5">
                  <c:v>2872138</c:v>
                </c:pt>
                <c:pt idx="6">
                  <c:v>2699701</c:v>
                </c:pt>
                <c:pt idx="7">
                  <c:v>2908100</c:v>
                </c:pt>
                <c:pt idx="8">
                  <c:v>3538260</c:v>
                </c:pt>
                <c:pt idx="9">
                  <c:v>3702811</c:v>
                </c:pt>
                <c:pt idx="10">
                  <c:v>3931416</c:v>
                </c:pt>
                <c:pt idx="11">
                  <c:v>3337840</c:v>
                </c:pt>
                <c:pt idx="12">
                  <c:v>3356232</c:v>
                </c:pt>
                <c:pt idx="13">
                  <c:v>2527635</c:v>
                </c:pt>
                <c:pt idx="14">
                  <c:v>3227508</c:v>
                </c:pt>
                <c:pt idx="15">
                  <c:v>2978613</c:v>
                </c:pt>
                <c:pt idx="16">
                  <c:v>3702894</c:v>
                </c:pt>
                <c:pt idx="17">
                  <c:v>3522464</c:v>
                </c:pt>
                <c:pt idx="18">
                  <c:v>5043422</c:v>
                </c:pt>
                <c:pt idx="19">
                  <c:v>4695236</c:v>
                </c:pt>
                <c:pt idx="20">
                  <c:v>4330866</c:v>
                </c:pt>
                <c:pt idx="21">
                  <c:v>3676411</c:v>
                </c:pt>
                <c:pt idx="22">
                  <c:v>3996339</c:v>
                </c:pt>
                <c:pt idx="23">
                  <c:v>4003129</c:v>
                </c:pt>
                <c:pt idx="24">
                  <c:v>3620786</c:v>
                </c:pt>
                <c:pt idx="25">
                  <c:v>3617939</c:v>
                </c:pt>
                <c:pt idx="26">
                  <c:v>4104123</c:v>
                </c:pt>
                <c:pt idx="27">
                  <c:v>3442622</c:v>
                </c:pt>
                <c:pt idx="28">
                  <c:v>3108144</c:v>
                </c:pt>
                <c:pt idx="29">
                  <c:v>2891384</c:v>
                </c:pt>
                <c:pt idx="30">
                  <c:v>3255382</c:v>
                </c:pt>
                <c:pt idx="31">
                  <c:v>4048437</c:v>
                </c:pt>
                <c:pt idx="32">
                  <c:v>3119011</c:v>
                </c:pt>
                <c:pt idx="33">
                  <c:v>2282737</c:v>
                </c:pt>
                <c:pt idx="34">
                  <c:v>2650722</c:v>
                </c:pt>
                <c:pt idx="35">
                  <c:v>1819292</c:v>
                </c:pt>
                <c:pt idx="36">
                  <c:v>2754609</c:v>
                </c:pt>
              </c:numCache>
            </c:numRef>
          </c:yVal>
        </c:ser>
        <c:ser>
          <c:idx val="4"/>
          <c:order val="4"/>
          <c:tx>
            <c:strRef>
              <c:f>'Table2-NAA'!$F$3</c:f>
              <c:strCache>
                <c:ptCount val="1"/>
                <c:pt idx="0">
                  <c:v>AGE 4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'Table2-NAA'!$F$4:$F$40</c:f>
              <c:numCache>
                <c:formatCode>General</c:formatCode>
                <c:ptCount val="37"/>
                <c:pt idx="0">
                  <c:v>960618</c:v>
                </c:pt>
                <c:pt idx="1">
                  <c:v>1023559</c:v>
                </c:pt>
                <c:pt idx="2">
                  <c:v>957066</c:v>
                </c:pt>
                <c:pt idx="3">
                  <c:v>1093625</c:v>
                </c:pt>
                <c:pt idx="4">
                  <c:v>1103528</c:v>
                </c:pt>
                <c:pt idx="5">
                  <c:v>1209165</c:v>
                </c:pt>
                <c:pt idx="6">
                  <c:v>975953</c:v>
                </c:pt>
                <c:pt idx="7">
                  <c:v>864743</c:v>
                </c:pt>
                <c:pt idx="8">
                  <c:v>906935</c:v>
                </c:pt>
                <c:pt idx="9">
                  <c:v>1121050</c:v>
                </c:pt>
                <c:pt idx="10">
                  <c:v>1209114</c:v>
                </c:pt>
                <c:pt idx="11">
                  <c:v>1461467</c:v>
                </c:pt>
                <c:pt idx="12">
                  <c:v>1170721</c:v>
                </c:pt>
                <c:pt idx="13">
                  <c:v>982533</c:v>
                </c:pt>
                <c:pt idx="14">
                  <c:v>491331</c:v>
                </c:pt>
                <c:pt idx="15">
                  <c:v>1155692</c:v>
                </c:pt>
                <c:pt idx="16">
                  <c:v>954067</c:v>
                </c:pt>
                <c:pt idx="17">
                  <c:v>1075997</c:v>
                </c:pt>
                <c:pt idx="18">
                  <c:v>1181477</c:v>
                </c:pt>
                <c:pt idx="19">
                  <c:v>1794762</c:v>
                </c:pt>
                <c:pt idx="20">
                  <c:v>1709319</c:v>
                </c:pt>
                <c:pt idx="21">
                  <c:v>1413170</c:v>
                </c:pt>
                <c:pt idx="22">
                  <c:v>1228016</c:v>
                </c:pt>
                <c:pt idx="23">
                  <c:v>1273379</c:v>
                </c:pt>
                <c:pt idx="24">
                  <c:v>1224570</c:v>
                </c:pt>
                <c:pt idx="25">
                  <c:v>1210824</c:v>
                </c:pt>
                <c:pt idx="26">
                  <c:v>1271271</c:v>
                </c:pt>
                <c:pt idx="27">
                  <c:v>1435408</c:v>
                </c:pt>
                <c:pt idx="28">
                  <c:v>1312267</c:v>
                </c:pt>
                <c:pt idx="29">
                  <c:v>1113565</c:v>
                </c:pt>
                <c:pt idx="30">
                  <c:v>1017106</c:v>
                </c:pt>
                <c:pt idx="31">
                  <c:v>982889</c:v>
                </c:pt>
                <c:pt idx="32">
                  <c:v>1317485</c:v>
                </c:pt>
                <c:pt idx="33">
                  <c:v>1082013</c:v>
                </c:pt>
                <c:pt idx="34">
                  <c:v>709930</c:v>
                </c:pt>
                <c:pt idx="35">
                  <c:v>833728</c:v>
                </c:pt>
                <c:pt idx="36">
                  <c:v>590476</c:v>
                </c:pt>
              </c:numCache>
            </c:numRef>
          </c:yVal>
        </c:ser>
        <c:ser>
          <c:idx val="5"/>
          <c:order val="5"/>
          <c:tx>
            <c:strRef>
              <c:f>'Table2-NAA'!$G$3</c:f>
              <c:strCache>
                <c:ptCount val="1"/>
                <c:pt idx="0">
                  <c:v>AGE 5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'Table2-NAA'!$G$4:$G$40</c:f>
              <c:numCache>
                <c:formatCode>General</c:formatCode>
                <c:ptCount val="37"/>
                <c:pt idx="0">
                  <c:v>447383</c:v>
                </c:pt>
                <c:pt idx="1">
                  <c:v>473684</c:v>
                </c:pt>
                <c:pt idx="2">
                  <c:v>559789</c:v>
                </c:pt>
                <c:pt idx="3">
                  <c:v>560242</c:v>
                </c:pt>
                <c:pt idx="4">
                  <c:v>570252</c:v>
                </c:pt>
                <c:pt idx="5">
                  <c:v>550508</c:v>
                </c:pt>
                <c:pt idx="6">
                  <c:v>431084</c:v>
                </c:pt>
                <c:pt idx="7">
                  <c:v>289790</c:v>
                </c:pt>
                <c:pt idx="8">
                  <c:v>212952</c:v>
                </c:pt>
                <c:pt idx="9">
                  <c:v>263291</c:v>
                </c:pt>
                <c:pt idx="10">
                  <c:v>332238</c:v>
                </c:pt>
                <c:pt idx="11">
                  <c:v>412926</c:v>
                </c:pt>
                <c:pt idx="12">
                  <c:v>371057</c:v>
                </c:pt>
                <c:pt idx="13">
                  <c:v>260545</c:v>
                </c:pt>
                <c:pt idx="14">
                  <c:v>123729</c:v>
                </c:pt>
                <c:pt idx="15">
                  <c:v>167691</c:v>
                </c:pt>
                <c:pt idx="16">
                  <c:v>176923</c:v>
                </c:pt>
                <c:pt idx="17">
                  <c:v>172343</c:v>
                </c:pt>
                <c:pt idx="18">
                  <c:v>193158</c:v>
                </c:pt>
                <c:pt idx="19">
                  <c:v>385437</c:v>
                </c:pt>
                <c:pt idx="20">
                  <c:v>455112</c:v>
                </c:pt>
                <c:pt idx="21">
                  <c:v>345188</c:v>
                </c:pt>
                <c:pt idx="22">
                  <c:v>304734</c:v>
                </c:pt>
                <c:pt idx="23">
                  <c:v>223830</c:v>
                </c:pt>
                <c:pt idx="24">
                  <c:v>252907</c:v>
                </c:pt>
                <c:pt idx="25">
                  <c:v>220868</c:v>
                </c:pt>
                <c:pt idx="26">
                  <c:v>231277</c:v>
                </c:pt>
                <c:pt idx="27">
                  <c:v>286946</c:v>
                </c:pt>
                <c:pt idx="28">
                  <c:v>400804</c:v>
                </c:pt>
                <c:pt idx="29">
                  <c:v>351028</c:v>
                </c:pt>
                <c:pt idx="30">
                  <c:v>369255</c:v>
                </c:pt>
                <c:pt idx="31">
                  <c:v>356907</c:v>
                </c:pt>
                <c:pt idx="32">
                  <c:v>282637</c:v>
                </c:pt>
                <c:pt idx="33">
                  <c:v>394585</c:v>
                </c:pt>
                <c:pt idx="34">
                  <c:v>379433</c:v>
                </c:pt>
                <c:pt idx="35">
                  <c:v>266459</c:v>
                </c:pt>
                <c:pt idx="36">
                  <c:v>233823</c:v>
                </c:pt>
              </c:numCache>
            </c:numRef>
          </c:yVal>
        </c:ser>
        <c:axId val="109345408"/>
        <c:axId val="109377792"/>
      </c:scatterChart>
      <c:valAx>
        <c:axId val="109345408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Year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9377792"/>
        <c:crosses val="autoZero"/>
        <c:crossBetween val="midCat"/>
      </c:valAx>
      <c:valAx>
        <c:axId val="1093777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Numbers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9345408"/>
        <c:crosses val="autoZero"/>
        <c:crossBetween val="midCat"/>
        <c:dispUnits>
          <c:builtInUnit val="millions"/>
          <c:dispUnitsLbl>
            <c:layout/>
            <c:txPr>
              <a:bodyPr/>
              <a:lstStyle/>
              <a:p>
                <a:pPr>
                  <a:defRPr sz="1100"/>
                </a:pPr>
                <a:endParaRPr lang="en-US"/>
              </a:p>
            </c:txPr>
          </c:dispUnitsLbl>
        </c:dispUnits>
      </c:valAx>
    </c:plotArea>
    <c:legend>
      <c:legendPos val="r"/>
      <c:layout/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Numbers at Age</a:t>
            </a:r>
          </a:p>
        </c:rich>
      </c:tx>
      <c:layout/>
    </c:title>
    <c:plotArea>
      <c:layout/>
      <c:bubbleChart>
        <c:ser>
          <c:idx val="1"/>
          <c:order val="0"/>
          <c:tx>
            <c:v>AGE 0</c:v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</c:numLit>
          </c:yVal>
          <c:bubbleSize>
            <c:numLit>
              <c:formatCode>General</c:formatCode>
              <c:ptCount val="37"/>
              <c:pt idx="0">
                <c:v>44231070</c:v>
              </c:pt>
              <c:pt idx="1">
                <c:v>45651799</c:v>
              </c:pt>
              <c:pt idx="2">
                <c:v>39795295</c:v>
              </c:pt>
              <c:pt idx="3">
                <c:v>43801670</c:v>
              </c:pt>
              <c:pt idx="4">
                <c:v>45470565</c:v>
              </c:pt>
              <c:pt idx="5">
                <c:v>57293840</c:v>
              </c:pt>
              <c:pt idx="6">
                <c:v>62213229</c:v>
              </c:pt>
              <c:pt idx="7">
                <c:v>55977924</c:v>
              </c:pt>
              <c:pt idx="8">
                <c:v>52541031</c:v>
              </c:pt>
              <c:pt idx="9">
                <c:v>55595408</c:v>
              </c:pt>
              <c:pt idx="10">
                <c:v>49213505</c:v>
              </c:pt>
              <c:pt idx="11">
                <c:v>71134399</c:v>
              </c:pt>
              <c:pt idx="12">
                <c:v>58170110</c:v>
              </c:pt>
              <c:pt idx="13">
                <c:v>75448936</c:v>
              </c:pt>
              <c:pt idx="14">
                <c:v>57706541</c:v>
              </c:pt>
              <c:pt idx="15">
                <c:v>75458671</c:v>
              </c:pt>
              <c:pt idx="16">
                <c:v>68909667</c:v>
              </c:pt>
              <c:pt idx="17">
                <c:v>70226028</c:v>
              </c:pt>
              <c:pt idx="18">
                <c:v>59961091</c:v>
              </c:pt>
              <c:pt idx="19">
                <c:v>70868030</c:v>
              </c:pt>
              <c:pt idx="20">
                <c:v>71435876</c:v>
              </c:pt>
              <c:pt idx="21">
                <c:v>67626067</c:v>
              </c:pt>
              <c:pt idx="22">
                <c:v>72814110</c:v>
              </c:pt>
              <c:pt idx="23">
                <c:v>79871925</c:v>
              </c:pt>
              <c:pt idx="24">
                <c:v>62225590</c:v>
              </c:pt>
              <c:pt idx="25">
                <c:v>59834903</c:v>
              </c:pt>
              <c:pt idx="26">
                <c:v>61094390</c:v>
              </c:pt>
              <c:pt idx="27">
                <c:v>70644480</c:v>
              </c:pt>
              <c:pt idx="28">
                <c:v>88801745</c:v>
              </c:pt>
              <c:pt idx="29">
                <c:v>65684208</c:v>
              </c:pt>
              <c:pt idx="30">
                <c:v>69766112</c:v>
              </c:pt>
              <c:pt idx="31">
                <c:v>66438210</c:v>
              </c:pt>
              <c:pt idx="32">
                <c:v>56453409</c:v>
              </c:pt>
              <c:pt idx="33">
                <c:v>58769002</c:v>
              </c:pt>
              <c:pt idx="34">
                <c:v>60520122</c:v>
              </c:pt>
              <c:pt idx="35">
                <c:v>60420651</c:v>
              </c:pt>
              <c:pt idx="36">
                <c:v>59548555</c:v>
              </c:pt>
            </c:numLit>
          </c:bubbleSize>
        </c:ser>
        <c:ser>
          <c:idx val="0"/>
          <c:order val="1"/>
          <c:tx>
            <c:v>AGE 1</c:v>
          </c:tx>
          <c:spPr>
            <a:ln w="25400">
              <a:noFill/>
            </a:ln>
          </c:spPr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7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</c:numLit>
          </c:yVal>
          <c:bubbleSize>
            <c:numLit>
              <c:formatCode>General</c:formatCode>
              <c:ptCount val="37"/>
              <c:pt idx="0">
                <c:v>19194290</c:v>
              </c:pt>
              <c:pt idx="1">
                <c:v>19638711</c:v>
              </c:pt>
              <c:pt idx="2">
                <c:v>20287966</c:v>
              </c:pt>
              <c:pt idx="3">
                <c:v>17639447</c:v>
              </c:pt>
              <c:pt idx="4">
                <c:v>19522593</c:v>
              </c:pt>
              <c:pt idx="5">
                <c:v>19853352</c:v>
              </c:pt>
              <c:pt idx="6">
                <c:v>24539401</c:v>
              </c:pt>
              <c:pt idx="7">
                <c:v>26533801</c:v>
              </c:pt>
              <c:pt idx="8">
                <c:v>24183557</c:v>
              </c:pt>
              <c:pt idx="9">
                <c:v>22571509</c:v>
              </c:pt>
              <c:pt idx="10">
                <c:v>23661282</c:v>
              </c:pt>
              <c:pt idx="11">
                <c:v>20037652</c:v>
              </c:pt>
              <c:pt idx="12">
                <c:v>27593542</c:v>
              </c:pt>
              <c:pt idx="13">
                <c:v>24410550</c:v>
              </c:pt>
              <c:pt idx="14">
                <c:v>31095188</c:v>
              </c:pt>
              <c:pt idx="15">
                <c:v>24044907</c:v>
              </c:pt>
              <c:pt idx="16">
                <c:v>31134633</c:v>
              </c:pt>
              <c:pt idx="17">
                <c:v>28556462</c:v>
              </c:pt>
              <c:pt idx="18">
                <c:v>27491959</c:v>
              </c:pt>
              <c:pt idx="19">
                <c:v>23676857</c:v>
              </c:pt>
              <c:pt idx="20">
                <c:v>28059540</c:v>
              </c:pt>
              <c:pt idx="21">
                <c:v>27676643</c:v>
              </c:pt>
              <c:pt idx="22">
                <c:v>26303996</c:v>
              </c:pt>
              <c:pt idx="23">
                <c:v>28723950</c:v>
              </c:pt>
              <c:pt idx="24">
                <c:v>30301827</c:v>
              </c:pt>
              <c:pt idx="25">
                <c:v>24733028</c:v>
              </c:pt>
              <c:pt idx="26">
                <c:v>23513889</c:v>
              </c:pt>
              <c:pt idx="27">
                <c:v>23947973</c:v>
              </c:pt>
              <c:pt idx="28">
                <c:v>28431265</c:v>
              </c:pt>
              <c:pt idx="29">
                <c:v>36486665</c:v>
              </c:pt>
              <c:pt idx="30">
                <c:v>25566549</c:v>
              </c:pt>
              <c:pt idx="31">
                <c:v>25956457</c:v>
              </c:pt>
              <c:pt idx="32">
                <c:v>25035490</c:v>
              </c:pt>
              <c:pt idx="33">
                <c:v>20743802</c:v>
              </c:pt>
              <c:pt idx="34">
                <c:v>21969921</c:v>
              </c:pt>
              <c:pt idx="35">
                <c:v>22602512</c:v>
              </c:pt>
              <c:pt idx="36">
                <c:v>23403865</c:v>
              </c:pt>
            </c:numLit>
          </c:bubbleSize>
        </c:ser>
        <c:ser>
          <c:idx val="2"/>
          <c:order val="2"/>
          <c:tx>
            <c:v>AGE 2</c:v>
          </c:tx>
          <c:spPr>
            <a:ln w="25400">
              <a:noFill/>
            </a:ln>
          </c:spPr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7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  <c:pt idx="10">
                <c:v>2</c:v>
              </c:pt>
              <c:pt idx="11">
                <c:v>2</c:v>
              </c:pt>
              <c:pt idx="12">
                <c:v>2</c:v>
              </c:pt>
              <c:pt idx="13">
                <c:v>2</c:v>
              </c:pt>
              <c:pt idx="14">
                <c:v>2</c:v>
              </c:pt>
              <c:pt idx="15">
                <c:v>2</c:v>
              </c:pt>
              <c:pt idx="16">
                <c:v>2</c:v>
              </c:pt>
              <c:pt idx="17">
                <c:v>2</c:v>
              </c:pt>
              <c:pt idx="18">
                <c:v>2</c:v>
              </c:pt>
              <c:pt idx="19">
                <c:v>2</c:v>
              </c:pt>
              <c:pt idx="20">
                <c:v>2</c:v>
              </c:pt>
              <c:pt idx="21">
                <c:v>2</c:v>
              </c:pt>
              <c:pt idx="22">
                <c:v>2</c:v>
              </c:pt>
              <c:pt idx="23">
                <c:v>2</c:v>
              </c:pt>
              <c:pt idx="24">
                <c:v>2</c:v>
              </c:pt>
              <c:pt idx="25">
                <c:v>2</c:v>
              </c:pt>
              <c:pt idx="26">
                <c:v>2</c:v>
              </c:pt>
              <c:pt idx="27">
                <c:v>2</c:v>
              </c:pt>
              <c:pt idx="28">
                <c:v>2</c:v>
              </c:pt>
              <c:pt idx="29">
                <c:v>2</c:v>
              </c:pt>
              <c:pt idx="30">
                <c:v>2</c:v>
              </c:pt>
              <c:pt idx="31">
                <c:v>2</c:v>
              </c:pt>
              <c:pt idx="32">
                <c:v>2</c:v>
              </c:pt>
              <c:pt idx="33">
                <c:v>2</c:v>
              </c:pt>
              <c:pt idx="34">
                <c:v>2</c:v>
              </c:pt>
              <c:pt idx="35">
                <c:v>2</c:v>
              </c:pt>
              <c:pt idx="36">
                <c:v>2</c:v>
              </c:pt>
            </c:numLit>
          </c:yVal>
          <c:bubbleSize>
            <c:numLit>
              <c:formatCode>General</c:formatCode>
              <c:ptCount val="37"/>
              <c:pt idx="0">
                <c:v>5110941</c:v>
              </c:pt>
              <c:pt idx="1">
                <c:v>7186551</c:v>
              </c:pt>
              <c:pt idx="2">
                <c:v>7546887</c:v>
              </c:pt>
              <c:pt idx="3">
                <c:v>7789743</c:v>
              </c:pt>
              <c:pt idx="4">
                <c:v>6905712</c:v>
              </c:pt>
              <c:pt idx="5">
                <c:v>7163879</c:v>
              </c:pt>
              <c:pt idx="6">
                <c:v>7118587</c:v>
              </c:pt>
              <c:pt idx="7">
                <c:v>8690077</c:v>
              </c:pt>
              <c:pt idx="8">
                <c:v>9316566</c:v>
              </c:pt>
              <c:pt idx="9">
                <c:v>8511995</c:v>
              </c:pt>
              <c:pt idx="10">
                <c:v>7721217</c:v>
              </c:pt>
              <c:pt idx="11">
                <c:v>8056961</c:v>
              </c:pt>
              <c:pt idx="12">
                <c:v>6410121</c:v>
              </c:pt>
              <c:pt idx="13">
                <c:v>8081463</c:v>
              </c:pt>
              <c:pt idx="14">
                <c:v>7975904</c:v>
              </c:pt>
              <c:pt idx="15">
                <c:v>9548683</c:v>
              </c:pt>
              <c:pt idx="16">
                <c:v>8135036</c:v>
              </c:pt>
              <c:pt idx="17">
                <c:v>11183440</c:v>
              </c:pt>
              <c:pt idx="18">
                <c:v>10056623</c:v>
              </c:pt>
              <c:pt idx="19">
                <c:v>9141192</c:v>
              </c:pt>
              <c:pt idx="20">
                <c:v>7986939</c:v>
              </c:pt>
              <c:pt idx="21">
                <c:v>8838492</c:v>
              </c:pt>
              <c:pt idx="22">
                <c:v>8922228</c:v>
              </c:pt>
              <c:pt idx="23">
                <c:v>8603592</c:v>
              </c:pt>
              <c:pt idx="24">
                <c:v>9463702</c:v>
              </c:pt>
              <c:pt idx="25">
                <c:v>9506982</c:v>
              </c:pt>
              <c:pt idx="26">
                <c:v>7989565</c:v>
              </c:pt>
              <c:pt idx="27">
                <c:v>7097029</c:v>
              </c:pt>
              <c:pt idx="28">
                <c:v>6922313</c:v>
              </c:pt>
              <c:pt idx="29">
                <c:v>8185731</c:v>
              </c:pt>
              <c:pt idx="30">
                <c:v>9055035</c:v>
              </c:pt>
              <c:pt idx="31">
                <c:v>7747597</c:v>
              </c:pt>
              <c:pt idx="32">
                <c:v>5409297</c:v>
              </c:pt>
              <c:pt idx="33">
                <c:v>6154728</c:v>
              </c:pt>
              <c:pt idx="34">
                <c:v>4815950</c:v>
              </c:pt>
              <c:pt idx="35">
                <c:v>6197608</c:v>
              </c:pt>
              <c:pt idx="36">
                <c:v>5874152</c:v>
              </c:pt>
            </c:numLit>
          </c:bubbleSize>
        </c:ser>
        <c:ser>
          <c:idx val="3"/>
          <c:order val="3"/>
          <c:tx>
            <c:v>AGE 3</c:v>
          </c:tx>
          <c:spPr>
            <a:ln w="25400">
              <a:noFill/>
            </a:ln>
          </c:spPr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7"/>
              <c:pt idx="0">
                <c:v>3</c:v>
              </c:pt>
              <c:pt idx="1">
                <c:v>3</c:v>
              </c:pt>
              <c:pt idx="2">
                <c:v>3</c:v>
              </c:pt>
              <c:pt idx="3">
                <c:v>3</c:v>
              </c:pt>
              <c:pt idx="4">
                <c:v>3</c:v>
              </c:pt>
              <c:pt idx="5">
                <c:v>3</c:v>
              </c:pt>
              <c:pt idx="6">
                <c:v>3</c:v>
              </c:pt>
              <c:pt idx="7">
                <c:v>3</c:v>
              </c:pt>
              <c:pt idx="8">
                <c:v>3</c:v>
              </c:pt>
              <c:pt idx="9">
                <c:v>3</c:v>
              </c:pt>
              <c:pt idx="10">
                <c:v>3</c:v>
              </c:pt>
              <c:pt idx="11">
                <c:v>3</c:v>
              </c:pt>
              <c:pt idx="12">
                <c:v>3</c:v>
              </c:pt>
              <c:pt idx="13">
                <c:v>3</c:v>
              </c:pt>
              <c:pt idx="14">
                <c:v>3</c:v>
              </c:pt>
              <c:pt idx="15">
                <c:v>3</c:v>
              </c:pt>
              <c:pt idx="16">
                <c:v>3</c:v>
              </c:pt>
              <c:pt idx="17">
                <c:v>3</c:v>
              </c:pt>
              <c:pt idx="18">
                <c:v>3</c:v>
              </c:pt>
              <c:pt idx="19">
                <c:v>3</c:v>
              </c:pt>
              <c:pt idx="20">
                <c:v>3</c:v>
              </c:pt>
              <c:pt idx="21">
                <c:v>3</c:v>
              </c:pt>
              <c:pt idx="22">
                <c:v>3</c:v>
              </c:pt>
              <c:pt idx="23">
                <c:v>3</c:v>
              </c:pt>
              <c:pt idx="24">
                <c:v>3</c:v>
              </c:pt>
              <c:pt idx="25">
                <c:v>3</c:v>
              </c:pt>
              <c:pt idx="26">
                <c:v>3</c:v>
              </c:pt>
              <c:pt idx="27">
                <c:v>3</c:v>
              </c:pt>
              <c:pt idx="28">
                <c:v>3</c:v>
              </c:pt>
              <c:pt idx="29">
                <c:v>3</c:v>
              </c:pt>
              <c:pt idx="30">
                <c:v>3</c:v>
              </c:pt>
              <c:pt idx="31">
                <c:v>3</c:v>
              </c:pt>
              <c:pt idx="32">
                <c:v>3</c:v>
              </c:pt>
              <c:pt idx="33">
                <c:v>3</c:v>
              </c:pt>
              <c:pt idx="34">
                <c:v>3</c:v>
              </c:pt>
              <c:pt idx="35">
                <c:v>3</c:v>
              </c:pt>
              <c:pt idx="36">
                <c:v>3</c:v>
              </c:pt>
            </c:numLit>
          </c:yVal>
          <c:bubbleSize>
            <c:numLit>
              <c:formatCode>General</c:formatCode>
              <c:ptCount val="37"/>
              <c:pt idx="0">
                <c:v>2714066</c:v>
              </c:pt>
              <c:pt idx="1">
                <c:v>2365442</c:v>
              </c:pt>
              <c:pt idx="2">
                <c:v>3016904</c:v>
              </c:pt>
              <c:pt idx="3">
                <c:v>3068242</c:v>
              </c:pt>
              <c:pt idx="4">
                <c:v>3372598</c:v>
              </c:pt>
              <c:pt idx="5">
                <c:v>2872138</c:v>
              </c:pt>
              <c:pt idx="6">
                <c:v>2699701</c:v>
              </c:pt>
              <c:pt idx="7">
                <c:v>2908100</c:v>
              </c:pt>
              <c:pt idx="8">
                <c:v>3538260</c:v>
              </c:pt>
              <c:pt idx="9">
                <c:v>3702811</c:v>
              </c:pt>
              <c:pt idx="10">
                <c:v>3931416</c:v>
              </c:pt>
              <c:pt idx="11">
                <c:v>3337840</c:v>
              </c:pt>
              <c:pt idx="12">
                <c:v>3356232</c:v>
              </c:pt>
              <c:pt idx="13">
                <c:v>2527635</c:v>
              </c:pt>
              <c:pt idx="14">
                <c:v>3227508</c:v>
              </c:pt>
              <c:pt idx="15">
                <c:v>2978613</c:v>
              </c:pt>
              <c:pt idx="16">
                <c:v>3702894</c:v>
              </c:pt>
              <c:pt idx="17">
                <c:v>3522464</c:v>
              </c:pt>
              <c:pt idx="18">
                <c:v>5043422</c:v>
              </c:pt>
              <c:pt idx="19">
                <c:v>4695236</c:v>
              </c:pt>
              <c:pt idx="20">
                <c:v>4330866</c:v>
              </c:pt>
              <c:pt idx="21">
                <c:v>3676411</c:v>
              </c:pt>
              <c:pt idx="22">
                <c:v>3996339</c:v>
              </c:pt>
              <c:pt idx="23">
                <c:v>4003129</c:v>
              </c:pt>
              <c:pt idx="24">
                <c:v>3620786</c:v>
              </c:pt>
              <c:pt idx="25">
                <c:v>3617939</c:v>
              </c:pt>
              <c:pt idx="26">
                <c:v>4104123</c:v>
              </c:pt>
              <c:pt idx="27">
                <c:v>3442622</c:v>
              </c:pt>
              <c:pt idx="28">
                <c:v>3108144</c:v>
              </c:pt>
              <c:pt idx="29">
                <c:v>2891384</c:v>
              </c:pt>
              <c:pt idx="30">
                <c:v>3255382</c:v>
              </c:pt>
              <c:pt idx="31">
                <c:v>4048437</c:v>
              </c:pt>
              <c:pt idx="32">
                <c:v>3119011</c:v>
              </c:pt>
              <c:pt idx="33">
                <c:v>2282737</c:v>
              </c:pt>
              <c:pt idx="34">
                <c:v>2650722</c:v>
              </c:pt>
              <c:pt idx="35">
                <c:v>1819292</c:v>
              </c:pt>
              <c:pt idx="36">
                <c:v>2754609</c:v>
              </c:pt>
            </c:numLit>
          </c:bubbleSize>
        </c:ser>
        <c:ser>
          <c:idx val="4"/>
          <c:order val="4"/>
          <c:tx>
            <c:v>AGE 4</c:v>
          </c:tx>
          <c:spPr>
            <a:ln w="25400">
              <a:noFill/>
            </a:ln>
          </c:spPr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7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4</c:v>
              </c:pt>
              <c:pt idx="21">
                <c:v>4</c:v>
              </c:pt>
              <c:pt idx="22">
                <c:v>4</c:v>
              </c:pt>
              <c:pt idx="23">
                <c:v>4</c:v>
              </c:pt>
              <c:pt idx="24">
                <c:v>4</c:v>
              </c:pt>
              <c:pt idx="25">
                <c:v>4</c:v>
              </c:pt>
              <c:pt idx="26">
                <c:v>4</c:v>
              </c:pt>
              <c:pt idx="27">
                <c:v>4</c:v>
              </c:pt>
              <c:pt idx="28">
                <c:v>4</c:v>
              </c:pt>
              <c:pt idx="29">
                <c:v>4</c:v>
              </c:pt>
              <c:pt idx="30">
                <c:v>4</c:v>
              </c:pt>
              <c:pt idx="31">
                <c:v>4</c:v>
              </c:pt>
              <c:pt idx="32">
                <c:v>4</c:v>
              </c:pt>
              <c:pt idx="33">
                <c:v>4</c:v>
              </c:pt>
              <c:pt idx="34">
                <c:v>4</c:v>
              </c:pt>
              <c:pt idx="35">
                <c:v>4</c:v>
              </c:pt>
              <c:pt idx="36">
                <c:v>4</c:v>
              </c:pt>
            </c:numLit>
          </c:yVal>
          <c:bubbleSize>
            <c:numLit>
              <c:formatCode>General</c:formatCode>
              <c:ptCount val="37"/>
              <c:pt idx="0">
                <c:v>960618</c:v>
              </c:pt>
              <c:pt idx="1">
                <c:v>1023559</c:v>
              </c:pt>
              <c:pt idx="2">
                <c:v>957066</c:v>
              </c:pt>
              <c:pt idx="3">
                <c:v>1093625</c:v>
              </c:pt>
              <c:pt idx="4">
                <c:v>1103528</c:v>
              </c:pt>
              <c:pt idx="5">
                <c:v>1209165</c:v>
              </c:pt>
              <c:pt idx="6">
                <c:v>975953</c:v>
              </c:pt>
              <c:pt idx="7">
                <c:v>864743</c:v>
              </c:pt>
              <c:pt idx="8">
                <c:v>906935</c:v>
              </c:pt>
              <c:pt idx="9">
                <c:v>1121050</c:v>
              </c:pt>
              <c:pt idx="10">
                <c:v>1209114</c:v>
              </c:pt>
              <c:pt idx="11">
                <c:v>1461467</c:v>
              </c:pt>
              <c:pt idx="12">
                <c:v>1170721</c:v>
              </c:pt>
              <c:pt idx="13">
                <c:v>982533</c:v>
              </c:pt>
              <c:pt idx="14">
                <c:v>491331</c:v>
              </c:pt>
              <c:pt idx="15">
                <c:v>1155692</c:v>
              </c:pt>
              <c:pt idx="16">
                <c:v>954067</c:v>
              </c:pt>
              <c:pt idx="17">
                <c:v>1075997</c:v>
              </c:pt>
              <c:pt idx="18">
                <c:v>1181477</c:v>
              </c:pt>
              <c:pt idx="19">
                <c:v>1794762</c:v>
              </c:pt>
              <c:pt idx="20">
                <c:v>1709319</c:v>
              </c:pt>
              <c:pt idx="21">
                <c:v>1413170</c:v>
              </c:pt>
              <c:pt idx="22">
                <c:v>1228016</c:v>
              </c:pt>
              <c:pt idx="23">
                <c:v>1273379</c:v>
              </c:pt>
              <c:pt idx="24">
                <c:v>1224570</c:v>
              </c:pt>
              <c:pt idx="25">
                <c:v>1210824</c:v>
              </c:pt>
              <c:pt idx="26">
                <c:v>1271271</c:v>
              </c:pt>
              <c:pt idx="27">
                <c:v>1435408</c:v>
              </c:pt>
              <c:pt idx="28">
                <c:v>1312267</c:v>
              </c:pt>
              <c:pt idx="29">
                <c:v>1113565</c:v>
              </c:pt>
              <c:pt idx="30">
                <c:v>1017106</c:v>
              </c:pt>
              <c:pt idx="31">
                <c:v>982889</c:v>
              </c:pt>
              <c:pt idx="32">
                <c:v>1317485</c:v>
              </c:pt>
              <c:pt idx="33">
                <c:v>1082013</c:v>
              </c:pt>
              <c:pt idx="34">
                <c:v>709930</c:v>
              </c:pt>
              <c:pt idx="35">
                <c:v>833728</c:v>
              </c:pt>
              <c:pt idx="36">
                <c:v>590476</c:v>
              </c:pt>
            </c:numLit>
          </c:bubbleSize>
        </c:ser>
        <c:ser>
          <c:idx val="5"/>
          <c:order val="5"/>
          <c:tx>
            <c:v>AGE 5</c:v>
          </c:tx>
          <c:spPr>
            <a:ln w="25400">
              <a:noFill/>
            </a:ln>
          </c:spPr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Lit>
              <c:formatCode>General</c:formatCode>
              <c:ptCount val="37"/>
              <c:pt idx="0">
                <c:v>5</c:v>
              </c:pt>
              <c:pt idx="1">
                <c:v>5</c:v>
              </c:pt>
              <c:pt idx="2">
                <c:v>5</c:v>
              </c:pt>
              <c:pt idx="3">
                <c:v>5</c:v>
              </c:pt>
              <c:pt idx="4">
                <c:v>5</c:v>
              </c:pt>
              <c:pt idx="5">
                <c:v>5</c:v>
              </c:pt>
              <c:pt idx="6">
                <c:v>5</c:v>
              </c:pt>
              <c:pt idx="7">
                <c:v>5</c:v>
              </c:pt>
              <c:pt idx="8">
                <c:v>5</c:v>
              </c:pt>
              <c:pt idx="9">
                <c:v>5</c:v>
              </c:pt>
              <c:pt idx="10">
                <c:v>5</c:v>
              </c:pt>
              <c:pt idx="11">
                <c:v>5</c:v>
              </c:pt>
              <c:pt idx="12">
                <c:v>5</c:v>
              </c:pt>
              <c:pt idx="13">
                <c:v>5</c:v>
              </c:pt>
              <c:pt idx="14">
                <c:v>5</c:v>
              </c:pt>
              <c:pt idx="15">
                <c:v>5</c:v>
              </c:pt>
              <c:pt idx="16">
                <c:v>5</c:v>
              </c:pt>
              <c:pt idx="17">
                <c:v>5</c:v>
              </c:pt>
              <c:pt idx="18">
                <c:v>5</c:v>
              </c:pt>
              <c:pt idx="19">
                <c:v>5</c:v>
              </c:pt>
              <c:pt idx="20">
                <c:v>5</c:v>
              </c:pt>
              <c:pt idx="21">
                <c:v>5</c:v>
              </c:pt>
              <c:pt idx="22">
                <c:v>5</c:v>
              </c:pt>
              <c:pt idx="23">
                <c:v>5</c:v>
              </c:pt>
              <c:pt idx="24">
                <c:v>5</c:v>
              </c:pt>
              <c:pt idx="25">
                <c:v>5</c:v>
              </c:pt>
              <c:pt idx="26">
                <c:v>5</c:v>
              </c:pt>
              <c:pt idx="27">
                <c:v>5</c:v>
              </c:pt>
              <c:pt idx="28">
                <c:v>5</c:v>
              </c:pt>
              <c:pt idx="29">
                <c:v>5</c:v>
              </c:pt>
              <c:pt idx="30">
                <c:v>5</c:v>
              </c:pt>
              <c:pt idx="31">
                <c:v>5</c:v>
              </c:pt>
              <c:pt idx="32">
                <c:v>5</c:v>
              </c:pt>
              <c:pt idx="33">
                <c:v>5</c:v>
              </c:pt>
              <c:pt idx="34">
                <c:v>5</c:v>
              </c:pt>
              <c:pt idx="35">
                <c:v>5</c:v>
              </c:pt>
              <c:pt idx="36">
                <c:v>5</c:v>
              </c:pt>
            </c:numLit>
          </c:yVal>
          <c:bubbleSize>
            <c:numLit>
              <c:formatCode>General</c:formatCode>
              <c:ptCount val="37"/>
              <c:pt idx="0">
                <c:v>447383</c:v>
              </c:pt>
              <c:pt idx="1">
                <c:v>473684</c:v>
              </c:pt>
              <c:pt idx="2">
                <c:v>559789</c:v>
              </c:pt>
              <c:pt idx="3">
                <c:v>560242</c:v>
              </c:pt>
              <c:pt idx="4">
                <c:v>570252</c:v>
              </c:pt>
              <c:pt idx="5">
                <c:v>550508</c:v>
              </c:pt>
              <c:pt idx="6">
                <c:v>431084</c:v>
              </c:pt>
              <c:pt idx="7">
                <c:v>289790</c:v>
              </c:pt>
              <c:pt idx="8">
                <c:v>212952</c:v>
              </c:pt>
              <c:pt idx="9">
                <c:v>263291</c:v>
              </c:pt>
              <c:pt idx="10">
                <c:v>332238</c:v>
              </c:pt>
              <c:pt idx="11">
                <c:v>412926</c:v>
              </c:pt>
              <c:pt idx="12">
                <c:v>371057</c:v>
              </c:pt>
              <c:pt idx="13">
                <c:v>260545</c:v>
              </c:pt>
              <c:pt idx="14">
                <c:v>123729</c:v>
              </c:pt>
              <c:pt idx="15">
                <c:v>167691</c:v>
              </c:pt>
              <c:pt idx="16">
                <c:v>176923</c:v>
              </c:pt>
              <c:pt idx="17">
                <c:v>172343</c:v>
              </c:pt>
              <c:pt idx="18">
                <c:v>193158</c:v>
              </c:pt>
              <c:pt idx="19">
                <c:v>385437</c:v>
              </c:pt>
              <c:pt idx="20">
                <c:v>455112</c:v>
              </c:pt>
              <c:pt idx="21">
                <c:v>345188</c:v>
              </c:pt>
              <c:pt idx="22">
                <c:v>304734</c:v>
              </c:pt>
              <c:pt idx="23">
                <c:v>223830</c:v>
              </c:pt>
              <c:pt idx="24">
                <c:v>252907</c:v>
              </c:pt>
              <c:pt idx="25">
                <c:v>220868</c:v>
              </c:pt>
              <c:pt idx="26">
                <c:v>231277</c:v>
              </c:pt>
              <c:pt idx="27">
                <c:v>286946</c:v>
              </c:pt>
              <c:pt idx="28">
                <c:v>400804</c:v>
              </c:pt>
              <c:pt idx="29">
                <c:v>351028</c:v>
              </c:pt>
              <c:pt idx="30">
                <c:v>369255</c:v>
              </c:pt>
              <c:pt idx="31">
                <c:v>356907</c:v>
              </c:pt>
              <c:pt idx="32">
                <c:v>282637</c:v>
              </c:pt>
              <c:pt idx="33">
                <c:v>394585</c:v>
              </c:pt>
              <c:pt idx="34">
                <c:v>379433</c:v>
              </c:pt>
              <c:pt idx="35">
                <c:v>266459</c:v>
              </c:pt>
              <c:pt idx="36">
                <c:v>233823</c:v>
              </c:pt>
            </c:numLit>
          </c:bubbleSize>
        </c:ser>
        <c:ser>
          <c:idx val="6"/>
          <c:order val="6"/>
          <c:spPr>
            <a:ln w="25400">
              <a:noFill/>
            </a:ln>
          </c:spPr>
          <c:bubbleSize>
            <c:numLit>
              <c:formatCode>General</c:formatCode>
              <c:ptCount val="37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</c:numLit>
          </c:bubbleSize>
        </c:ser>
        <c:bubbleScale val="100"/>
        <c:axId val="159216768"/>
        <c:axId val="138978816"/>
      </c:bubbleChart>
      <c:valAx>
        <c:axId val="159216768"/>
        <c:scaling>
          <c:orientation val="minMax"/>
          <c:max val="2010"/>
          <c:min val="1965"/>
        </c:scaling>
        <c:axPos val="b"/>
        <c:numFmt formatCode="General" sourceLinked="1"/>
        <c:tickLblPos val="nextTo"/>
        <c:crossAx val="138978816"/>
        <c:crosses val="autoZero"/>
        <c:crossBetween val="midCat"/>
      </c:valAx>
      <c:valAx>
        <c:axId val="138978816"/>
        <c:scaling>
          <c:orientation val="minMax"/>
        </c:scaling>
        <c:axPos val="l"/>
        <c:majorGridlines/>
        <c:numFmt formatCode="General" sourceLinked="1"/>
        <c:tickLblPos val="nextTo"/>
        <c:crossAx val="159216768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Variables'!$I$12:$J$12</c:f>
          <c:strCache>
            <c:ptCount val="1"/>
            <c:pt idx="0">
              <c:v>ATL Catch-at-Age</c:v>
            </c:pt>
          </c:strCache>
        </c:strRef>
      </c:tx>
      <c:layout>
        <c:manualLayout>
          <c:xMode val="edge"/>
          <c:yMode val="edge"/>
          <c:x val="0.34951511540996033"/>
          <c:y val="3.1553435453764468E-2"/>
        </c:manualLayout>
      </c:layout>
    </c:title>
    <c:plotArea>
      <c:layout>
        <c:manualLayout>
          <c:layoutTarget val="inner"/>
          <c:xMode val="edge"/>
          <c:yMode val="edge"/>
          <c:x val="0.1445526590729557"/>
          <c:y val="0.19174780006518324"/>
          <c:w val="0.63862005113438536"/>
          <c:h val="0.54368996474178544"/>
        </c:manualLayout>
      </c:layout>
      <c:scatterChart>
        <c:scatterStyle val="lineMarker"/>
        <c:ser>
          <c:idx val="0"/>
          <c:order val="0"/>
          <c:tx>
            <c:strRef>
              <c:f>'Table3-CAA'!$B$3</c:f>
              <c:strCache>
                <c:ptCount val="1"/>
                <c:pt idx="0">
                  <c:v>AGE 0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'Table3-CAA'!$B$4:$B$98</c:f>
              <c:numCache>
                <c:formatCode>General</c:formatCode>
                <c:ptCount val="95"/>
                <c:pt idx="0">
                  <c:v>361290</c:v>
                </c:pt>
                <c:pt idx="1">
                  <c:v>344448</c:v>
                </c:pt>
                <c:pt idx="2">
                  <c:v>370595</c:v>
                </c:pt>
                <c:pt idx="3">
                  <c:v>243206</c:v>
                </c:pt>
                <c:pt idx="4">
                  <c:v>886952</c:v>
                </c:pt>
                <c:pt idx="5">
                  <c:v>1850686</c:v>
                </c:pt>
                <c:pt idx="6">
                  <c:v>2183572</c:v>
                </c:pt>
                <c:pt idx="7">
                  <c:v>1488116</c:v>
                </c:pt>
                <c:pt idx="8">
                  <c:v>1592943</c:v>
                </c:pt>
                <c:pt idx="9">
                  <c:v>2028285</c:v>
                </c:pt>
                <c:pt idx="10">
                  <c:v>3200008</c:v>
                </c:pt>
                <c:pt idx="11">
                  <c:v>6758071</c:v>
                </c:pt>
                <c:pt idx="12">
                  <c:v>2657563</c:v>
                </c:pt>
                <c:pt idx="13">
                  <c:v>4323476</c:v>
                </c:pt>
                <c:pt idx="14">
                  <c:v>2901125</c:v>
                </c:pt>
                <c:pt idx="15">
                  <c:v>4268983</c:v>
                </c:pt>
                <c:pt idx="16">
                  <c:v>3706439</c:v>
                </c:pt>
                <c:pt idx="17">
                  <c:v>6280192</c:v>
                </c:pt>
                <c:pt idx="18">
                  <c:v>5045170</c:v>
                </c:pt>
                <c:pt idx="19">
                  <c:v>5844442</c:v>
                </c:pt>
                <c:pt idx="20">
                  <c:v>6840077</c:v>
                </c:pt>
                <c:pt idx="21">
                  <c:v>6313402</c:v>
                </c:pt>
                <c:pt idx="22">
                  <c:v>6170239</c:v>
                </c:pt>
                <c:pt idx="23">
                  <c:v>8654594</c:v>
                </c:pt>
                <c:pt idx="24">
                  <c:v>4983084</c:v>
                </c:pt>
                <c:pt idx="25">
                  <c:v>5210909</c:v>
                </c:pt>
                <c:pt idx="26">
                  <c:v>5415623</c:v>
                </c:pt>
                <c:pt idx="27">
                  <c:v>5109588</c:v>
                </c:pt>
                <c:pt idx="28">
                  <c:v>5261746</c:v>
                </c:pt>
                <c:pt idx="29">
                  <c:v>6104314</c:v>
                </c:pt>
                <c:pt idx="30">
                  <c:v>8362333</c:v>
                </c:pt>
                <c:pt idx="31">
                  <c:v>7465211</c:v>
                </c:pt>
                <c:pt idx="32">
                  <c:v>7175201</c:v>
                </c:pt>
                <c:pt idx="33">
                  <c:v>6879341</c:v>
                </c:pt>
                <c:pt idx="34">
                  <c:v>7118910</c:v>
                </c:pt>
                <c:pt idx="35">
                  <c:v>5792990</c:v>
                </c:pt>
                <c:pt idx="36">
                  <c:v>4628314</c:v>
                </c:pt>
              </c:numCache>
            </c:numRef>
          </c:yVal>
        </c:ser>
        <c:ser>
          <c:idx val="1"/>
          <c:order val="1"/>
          <c:tx>
            <c:strRef>
              <c:f>'Table3-CAA'!$C$3</c:f>
              <c:strCache>
                <c:ptCount val="1"/>
                <c:pt idx="0">
                  <c:v>AGE 1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'Table3-CAA'!$C$4:$C$98</c:f>
              <c:numCache>
                <c:formatCode>General</c:formatCode>
                <c:ptCount val="95"/>
                <c:pt idx="0">
                  <c:v>2229482</c:v>
                </c:pt>
                <c:pt idx="1">
                  <c:v>1977021</c:v>
                </c:pt>
                <c:pt idx="2">
                  <c:v>2052767</c:v>
                </c:pt>
                <c:pt idx="3">
                  <c:v>1577104</c:v>
                </c:pt>
                <c:pt idx="4">
                  <c:v>2496615</c:v>
                </c:pt>
                <c:pt idx="5">
                  <c:v>2801854</c:v>
                </c:pt>
                <c:pt idx="6">
                  <c:v>3635133</c:v>
                </c:pt>
                <c:pt idx="7">
                  <c:v>4057058</c:v>
                </c:pt>
                <c:pt idx="8">
                  <c:v>3664928</c:v>
                </c:pt>
                <c:pt idx="9">
                  <c:v>3775358</c:v>
                </c:pt>
                <c:pt idx="10">
                  <c:v>4016663</c:v>
                </c:pt>
                <c:pt idx="11">
                  <c:v>4062149</c:v>
                </c:pt>
                <c:pt idx="12">
                  <c:v>6800765</c:v>
                </c:pt>
                <c:pt idx="13">
                  <c:v>4680819</c:v>
                </c:pt>
                <c:pt idx="14">
                  <c:v>6946804</c:v>
                </c:pt>
                <c:pt idx="15">
                  <c:v>4165569</c:v>
                </c:pt>
                <c:pt idx="16">
                  <c:v>4362541</c:v>
                </c:pt>
                <c:pt idx="17">
                  <c:v>4318997</c:v>
                </c:pt>
                <c:pt idx="18">
                  <c:v>5018133</c:v>
                </c:pt>
                <c:pt idx="19">
                  <c:v>4139343</c:v>
                </c:pt>
                <c:pt idx="20">
                  <c:v>5910204</c:v>
                </c:pt>
                <c:pt idx="21">
                  <c:v>5500947</c:v>
                </c:pt>
                <c:pt idx="22">
                  <c:v>5029419</c:v>
                </c:pt>
                <c:pt idx="23">
                  <c:v>5382283</c:v>
                </c:pt>
                <c:pt idx="24">
                  <c:v>6443400</c:v>
                </c:pt>
                <c:pt idx="25">
                  <c:v>4889679</c:v>
                </c:pt>
                <c:pt idx="26">
                  <c:v>5453178</c:v>
                </c:pt>
                <c:pt idx="27">
                  <c:v>6051401</c:v>
                </c:pt>
                <c:pt idx="28">
                  <c:v>7237372</c:v>
                </c:pt>
                <c:pt idx="29">
                  <c:v>11684800</c:v>
                </c:pt>
                <c:pt idx="30">
                  <c:v>5878954</c:v>
                </c:pt>
                <c:pt idx="31">
                  <c:v>10065910</c:v>
                </c:pt>
                <c:pt idx="32">
                  <c:v>8115388</c:v>
                </c:pt>
                <c:pt idx="33">
                  <c:v>7202107</c:v>
                </c:pt>
                <c:pt idx="34">
                  <c:v>5801751</c:v>
                </c:pt>
                <c:pt idx="35">
                  <c:v>6796869</c:v>
                </c:pt>
                <c:pt idx="36">
                  <c:v>3926747</c:v>
                </c:pt>
              </c:numCache>
            </c:numRef>
          </c:yVal>
        </c:ser>
        <c:ser>
          <c:idx val="2"/>
          <c:order val="2"/>
          <c:tx>
            <c:strRef>
              <c:f>'Table3-CAA'!$D$3</c:f>
              <c:strCache>
                <c:ptCount val="1"/>
                <c:pt idx="0">
                  <c:v>AGE 2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'Table3-CAA'!$D$4:$D$98</c:f>
              <c:numCache>
                <c:formatCode>General</c:formatCode>
                <c:ptCount val="95"/>
                <c:pt idx="0">
                  <c:v>607301</c:v>
                </c:pt>
                <c:pt idx="1">
                  <c:v>1287353</c:v>
                </c:pt>
                <c:pt idx="2">
                  <c:v>1492978</c:v>
                </c:pt>
                <c:pt idx="3">
                  <c:v>1251198</c:v>
                </c:pt>
                <c:pt idx="4">
                  <c:v>1274896</c:v>
                </c:pt>
                <c:pt idx="5">
                  <c:v>1719568</c:v>
                </c:pt>
                <c:pt idx="6">
                  <c:v>1388487</c:v>
                </c:pt>
                <c:pt idx="7">
                  <c:v>1711726</c:v>
                </c:pt>
                <c:pt idx="8">
                  <c:v>1963323</c:v>
                </c:pt>
                <c:pt idx="9">
                  <c:v>1022740</c:v>
                </c:pt>
                <c:pt idx="10">
                  <c:v>1247358</c:v>
                </c:pt>
                <c:pt idx="11">
                  <c:v>1479983</c:v>
                </c:pt>
                <c:pt idx="12">
                  <c:v>1379253</c:v>
                </c:pt>
                <c:pt idx="13">
                  <c:v>1680974</c:v>
                </c:pt>
                <c:pt idx="14">
                  <c:v>1953147</c:v>
                </c:pt>
                <c:pt idx="15">
                  <c:v>2143130</c:v>
                </c:pt>
                <c:pt idx="16">
                  <c:v>1306129</c:v>
                </c:pt>
                <c:pt idx="17">
                  <c:v>1513905</c:v>
                </c:pt>
                <c:pt idx="18">
                  <c:v>1138051</c:v>
                </c:pt>
                <c:pt idx="19">
                  <c:v>946698</c:v>
                </c:pt>
                <c:pt idx="20">
                  <c:v>977104</c:v>
                </c:pt>
                <c:pt idx="21">
                  <c:v>1181880</c:v>
                </c:pt>
                <c:pt idx="22">
                  <c:v>1236534</c:v>
                </c:pt>
                <c:pt idx="23">
                  <c:v>1528458</c:v>
                </c:pt>
                <c:pt idx="24">
                  <c:v>2198100</c:v>
                </c:pt>
                <c:pt idx="25">
                  <c:v>1543835</c:v>
                </c:pt>
                <c:pt idx="26">
                  <c:v>1306456</c:v>
                </c:pt>
                <c:pt idx="27">
                  <c:v>1090160</c:v>
                </c:pt>
                <c:pt idx="28">
                  <c:v>1260581</c:v>
                </c:pt>
                <c:pt idx="29">
                  <c:v>1722161</c:v>
                </c:pt>
                <c:pt idx="30">
                  <c:v>1274923</c:v>
                </c:pt>
                <c:pt idx="31">
                  <c:v>1576328</c:v>
                </c:pt>
                <c:pt idx="32">
                  <c:v>952183</c:v>
                </c:pt>
                <c:pt idx="33">
                  <c:v>1008228</c:v>
                </c:pt>
                <c:pt idx="34">
                  <c:v>1149694</c:v>
                </c:pt>
                <c:pt idx="35">
                  <c:v>895413</c:v>
                </c:pt>
                <c:pt idx="36">
                  <c:v>1232116</c:v>
                </c:pt>
              </c:numCache>
            </c:numRef>
          </c:yVal>
        </c:ser>
        <c:ser>
          <c:idx val="3"/>
          <c:order val="3"/>
          <c:tx>
            <c:strRef>
              <c:f>'Table3-CAA'!$E$3</c:f>
              <c:strCache>
                <c:ptCount val="1"/>
                <c:pt idx="0">
                  <c:v>AGE 3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'Table3-CAA'!$E$4:$E$98</c:f>
              <c:numCache>
                <c:formatCode>General</c:formatCode>
                <c:ptCount val="95"/>
                <c:pt idx="0">
                  <c:v>650369</c:v>
                </c:pt>
                <c:pt idx="1">
                  <c:v>474486</c:v>
                </c:pt>
                <c:pt idx="2">
                  <c:v>786068</c:v>
                </c:pt>
                <c:pt idx="3">
                  <c:v>811921</c:v>
                </c:pt>
                <c:pt idx="4">
                  <c:v>897957</c:v>
                </c:pt>
                <c:pt idx="5">
                  <c:v>842170</c:v>
                </c:pt>
                <c:pt idx="6">
                  <c:v>867883</c:v>
                </c:pt>
                <c:pt idx="7">
                  <c:v>970685</c:v>
                </c:pt>
                <c:pt idx="8">
                  <c:v>1155362</c:v>
                </c:pt>
                <c:pt idx="9">
                  <c:v>1156845</c:v>
                </c:pt>
                <c:pt idx="10">
                  <c:v>972350</c:v>
                </c:pt>
                <c:pt idx="11">
                  <c:v>926044</c:v>
                </c:pt>
                <c:pt idx="12">
                  <c:v>1214320</c:v>
                </c:pt>
                <c:pt idx="13">
                  <c:v>1290371</c:v>
                </c:pt>
                <c:pt idx="14">
                  <c:v>861417</c:v>
                </c:pt>
                <c:pt idx="15">
                  <c:v>957578</c:v>
                </c:pt>
                <c:pt idx="16">
                  <c:v>1351567</c:v>
                </c:pt>
                <c:pt idx="17">
                  <c:v>1055188</c:v>
                </c:pt>
                <c:pt idx="18">
                  <c:v>1362108</c:v>
                </c:pt>
                <c:pt idx="19">
                  <c:v>1212904</c:v>
                </c:pt>
                <c:pt idx="20">
                  <c:v>1354542</c:v>
                </c:pt>
                <c:pt idx="21">
                  <c:v>1108701</c:v>
                </c:pt>
                <c:pt idx="22">
                  <c:v>1294467</c:v>
                </c:pt>
                <c:pt idx="23">
                  <c:v>1371075</c:v>
                </c:pt>
                <c:pt idx="24">
                  <c:v>1089902</c:v>
                </c:pt>
                <c:pt idx="25">
                  <c:v>1000446</c:v>
                </c:pt>
                <c:pt idx="26">
                  <c:v>1144517</c:v>
                </c:pt>
                <c:pt idx="27">
                  <c:v>805058</c:v>
                </c:pt>
                <c:pt idx="28">
                  <c:v>828678</c:v>
                </c:pt>
                <c:pt idx="29">
                  <c:v>797909</c:v>
                </c:pt>
                <c:pt idx="30">
                  <c:v>1133947</c:v>
                </c:pt>
                <c:pt idx="31">
                  <c:v>1271341</c:v>
                </c:pt>
                <c:pt idx="32">
                  <c:v>882558</c:v>
                </c:pt>
                <c:pt idx="33">
                  <c:v>764832</c:v>
                </c:pt>
                <c:pt idx="34">
                  <c:v>874474</c:v>
                </c:pt>
                <c:pt idx="35">
                  <c:v>573610</c:v>
                </c:pt>
                <c:pt idx="36">
                  <c:v>759365</c:v>
                </c:pt>
              </c:numCache>
            </c:numRef>
          </c:yVal>
        </c:ser>
        <c:ser>
          <c:idx val="4"/>
          <c:order val="4"/>
          <c:tx>
            <c:strRef>
              <c:f>'Table3-CAA'!$F$3</c:f>
              <c:strCache>
                <c:ptCount val="1"/>
                <c:pt idx="0">
                  <c:v>AGE 4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'Table3-CAA'!$F$4:$F$98</c:f>
              <c:numCache>
                <c:formatCode>General</c:formatCode>
                <c:ptCount val="95"/>
                <c:pt idx="0">
                  <c:v>335068</c:v>
                </c:pt>
                <c:pt idx="1">
                  <c:v>293744</c:v>
                </c:pt>
                <c:pt idx="2">
                  <c:v>289931</c:v>
                </c:pt>
                <c:pt idx="3">
                  <c:v>370436</c:v>
                </c:pt>
                <c:pt idx="4">
                  <c:v>403301</c:v>
                </c:pt>
                <c:pt idx="5">
                  <c:v>602660</c:v>
                </c:pt>
                <c:pt idx="6">
                  <c:v>547868</c:v>
                </c:pt>
                <c:pt idx="7">
                  <c:v>504842</c:v>
                </c:pt>
                <c:pt idx="8">
                  <c:v>441937</c:v>
                </c:pt>
                <c:pt idx="9">
                  <c:v>537482</c:v>
                </c:pt>
                <c:pt idx="10">
                  <c:v>532110</c:v>
                </c:pt>
                <c:pt idx="11">
                  <c:v>810154</c:v>
                </c:pt>
                <c:pt idx="12">
                  <c:v>710570</c:v>
                </c:pt>
                <c:pt idx="13">
                  <c:v>704840</c:v>
                </c:pt>
                <c:pt idx="14">
                  <c:v>211065</c:v>
                </c:pt>
                <c:pt idx="15">
                  <c:v>738008</c:v>
                </c:pt>
                <c:pt idx="16">
                  <c:v>586169</c:v>
                </c:pt>
                <c:pt idx="17">
                  <c:v>652139</c:v>
                </c:pt>
                <c:pt idx="18">
                  <c:v>479093</c:v>
                </c:pt>
                <c:pt idx="19">
                  <c:v>945449</c:v>
                </c:pt>
                <c:pt idx="20">
                  <c:v>1052048</c:v>
                </c:pt>
                <c:pt idx="21">
                  <c:v>832673</c:v>
                </c:pt>
                <c:pt idx="22">
                  <c:v>780051</c:v>
                </c:pt>
                <c:pt idx="23">
                  <c:v>745384</c:v>
                </c:pt>
                <c:pt idx="24">
                  <c:v>762615</c:v>
                </c:pt>
                <c:pt idx="25">
                  <c:v>724878</c:v>
                </c:pt>
                <c:pt idx="26">
                  <c:v>699652</c:v>
                </c:pt>
                <c:pt idx="27">
                  <c:v>697640</c:v>
                </c:pt>
                <c:pt idx="28">
                  <c:v>716679</c:v>
                </c:pt>
                <c:pt idx="29">
                  <c:v>524019</c:v>
                </c:pt>
                <c:pt idx="30">
                  <c:v>475691</c:v>
                </c:pt>
                <c:pt idx="31">
                  <c:v>534448</c:v>
                </c:pt>
                <c:pt idx="32">
                  <c:v>613958</c:v>
                </c:pt>
                <c:pt idx="33">
                  <c:v>507098</c:v>
                </c:pt>
                <c:pt idx="34">
                  <c:v>360014</c:v>
                </c:pt>
                <c:pt idx="35">
                  <c:v>446518</c:v>
                </c:pt>
                <c:pt idx="36">
                  <c:v>382044</c:v>
                </c:pt>
              </c:numCache>
            </c:numRef>
          </c:yVal>
        </c:ser>
        <c:ser>
          <c:idx val="5"/>
          <c:order val="5"/>
          <c:tx>
            <c:strRef>
              <c:f>'Table3-CAA'!$G$3</c:f>
              <c:strCache>
                <c:ptCount val="1"/>
                <c:pt idx="0">
                  <c:v>AGE 5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'Table3-CAA'!$G$4:$G$98</c:f>
              <c:numCache>
                <c:formatCode>General</c:formatCode>
                <c:ptCount val="95"/>
                <c:pt idx="0">
                  <c:v>85575</c:v>
                </c:pt>
                <c:pt idx="1">
                  <c:v>72602</c:v>
                </c:pt>
                <c:pt idx="2">
                  <c:v>91172</c:v>
                </c:pt>
                <c:pt idx="3">
                  <c:v>103603</c:v>
                </c:pt>
                <c:pt idx="4">
                  <c:v>115146</c:v>
                </c:pt>
                <c:pt idx="5">
                  <c:v>162022</c:v>
                </c:pt>
                <c:pt idx="6">
                  <c:v>148267</c:v>
                </c:pt>
                <c:pt idx="7">
                  <c:v>105140</c:v>
                </c:pt>
                <c:pt idx="8">
                  <c:v>60903</c:v>
                </c:pt>
                <c:pt idx="9">
                  <c:v>73775</c:v>
                </c:pt>
                <c:pt idx="10">
                  <c:v>83719</c:v>
                </c:pt>
                <c:pt idx="11">
                  <c:v>139639</c:v>
                </c:pt>
                <c:pt idx="12">
                  <c:v>142131</c:v>
                </c:pt>
                <c:pt idx="13">
                  <c:v>128569</c:v>
                </c:pt>
                <c:pt idx="14">
                  <c:v>30274</c:v>
                </c:pt>
                <c:pt idx="15">
                  <c:v>69106</c:v>
                </c:pt>
                <c:pt idx="16">
                  <c:v>68951</c:v>
                </c:pt>
                <c:pt idx="17">
                  <c:v>65881</c:v>
                </c:pt>
                <c:pt idx="18">
                  <c:v>44092</c:v>
                </c:pt>
                <c:pt idx="19">
                  <c:v>121843</c:v>
                </c:pt>
                <c:pt idx="20">
                  <c:v>177816</c:v>
                </c:pt>
                <c:pt idx="21">
                  <c:v>126849</c:v>
                </c:pt>
                <c:pt idx="22">
                  <c:v>124612</c:v>
                </c:pt>
                <c:pt idx="23">
                  <c:v>81507</c:v>
                </c:pt>
                <c:pt idx="24">
                  <c:v>100493</c:v>
                </c:pt>
                <c:pt idx="25">
                  <c:v>82982</c:v>
                </c:pt>
                <c:pt idx="26">
                  <c:v>77460</c:v>
                </c:pt>
                <c:pt idx="27">
                  <c:v>81796</c:v>
                </c:pt>
                <c:pt idx="28">
                  <c:v>132870</c:v>
                </c:pt>
                <c:pt idx="29">
                  <c:v>96085</c:v>
                </c:pt>
                <c:pt idx="30">
                  <c:v>100301</c:v>
                </c:pt>
                <c:pt idx="31">
                  <c:v>117632</c:v>
                </c:pt>
                <c:pt idx="32">
                  <c:v>76429</c:v>
                </c:pt>
                <c:pt idx="33">
                  <c:v>107459</c:v>
                </c:pt>
                <c:pt idx="34">
                  <c:v>114175</c:v>
                </c:pt>
                <c:pt idx="35">
                  <c:v>86079</c:v>
                </c:pt>
                <c:pt idx="36">
                  <c:v>98240</c:v>
                </c:pt>
              </c:numCache>
            </c:numRef>
          </c:yVal>
        </c:ser>
        <c:axId val="110162304"/>
        <c:axId val="110176512"/>
      </c:scatterChart>
      <c:valAx>
        <c:axId val="110162304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Year</a:t>
                </a:r>
              </a:p>
            </c:rich>
          </c:tx>
          <c:layout>
            <c:manualLayout>
              <c:xMode val="edge"/>
              <c:yMode val="edge"/>
              <c:x val="0.47249265601716728"/>
              <c:y val="0.88592338004799642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 sz="1200"/>
            </a:pPr>
            <a:endParaRPr lang="en-US"/>
          </a:p>
        </c:txPr>
        <c:crossAx val="110176512"/>
        <c:crosses val="autoZero"/>
        <c:crossBetween val="midCat"/>
        <c:majorUnit val="5"/>
        <c:minorUnit val="3.8539999999999988"/>
      </c:valAx>
      <c:valAx>
        <c:axId val="11017651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Catch</a:t>
                </a:r>
              </a:p>
            </c:rich>
          </c:tx>
          <c:layout>
            <c:manualLayout>
              <c:xMode val="edge"/>
              <c:yMode val="edge"/>
              <c:x val="2.589000854888588E-2"/>
              <c:y val="0.39077716215815922"/>
            </c:manualLayout>
          </c:layout>
        </c:title>
        <c:numFmt formatCode="0" sourceLinked="0"/>
        <c:tickLblPos val="nextTo"/>
        <c:txPr>
          <a:bodyPr rot="0" vert="horz"/>
          <a:lstStyle/>
          <a:p>
            <a:pPr>
              <a:defRPr sz="1100"/>
            </a:pPr>
            <a:endParaRPr lang="en-US"/>
          </a:p>
        </c:txPr>
        <c:crossAx val="110162304"/>
        <c:crosses val="autoZero"/>
        <c:crossBetween val="midCat"/>
        <c:dispUnits>
          <c:builtInUnit val="millions"/>
          <c:dispUnitsLbl>
            <c:layout/>
          </c:dispUnitsLbl>
        </c:dispUnits>
      </c:valAx>
    </c:plotArea>
    <c:legend>
      <c:legendPos val="r"/>
      <c:layout>
        <c:manualLayout>
          <c:xMode val="edge"/>
          <c:yMode val="edge"/>
          <c:x val="0.81391721665859784"/>
          <c:y val="0.32928802588996792"/>
          <c:w val="0.16019442789623195"/>
          <c:h val="0.47249318349769392"/>
        </c:manualLayout>
      </c:layout>
    </c:legend>
    <c:plotVisOnly val="1"/>
    <c:dispBlanksAs val="gap"/>
  </c:chart>
  <c:printSettings>
    <c:headerFooter alignWithMargins="0"/>
    <c:pageMargins b="1" l="0.750000000000002" r="0.750000000000002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title>
      <c:tx>
        <c:strRef>
          <c:f>'Titles and Variables'!$I$13:$J$13</c:f>
          <c:strCache>
            <c:ptCount val="1"/>
            <c:pt idx="0">
              <c:v>ATL Total Catch</c:v>
            </c:pt>
          </c:strCache>
        </c:strRef>
      </c:tx>
      <c:layout>
        <c:manualLayout>
          <c:xMode val="edge"/>
          <c:yMode val="edge"/>
          <c:x val="0.36187427576159076"/>
          <c:y val="3.1476997578692663E-2"/>
        </c:manualLayout>
      </c:layout>
    </c:title>
    <c:plotArea>
      <c:layout>
        <c:manualLayout>
          <c:layoutTarget val="inner"/>
          <c:xMode val="edge"/>
          <c:yMode val="edge"/>
          <c:x val="0.15078099890179325"/>
          <c:y val="0.19128329297820823"/>
          <c:w val="0.676360228800156"/>
          <c:h val="0.5447941888619855"/>
        </c:manualLayout>
      </c:layout>
      <c:scatterChart>
        <c:scatterStyle val="lineMarker"/>
        <c:ser>
          <c:idx val="0"/>
          <c:order val="0"/>
          <c:tx>
            <c:strRef>
              <c:f>'Table3-CAA'!$AF$3</c:f>
              <c:strCache>
                <c:ptCount val="1"/>
                <c:pt idx="0">
                  <c:v>sum</c:v>
                </c:pt>
              </c:strCache>
            </c:strRef>
          </c:tx>
          <c:xVal>
            <c:numRef>
              <c:f>'Table3-CAA'!$A$4:$A$100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'Table3-CAA'!$AF$4:$AF$100</c:f>
              <c:numCache>
                <c:formatCode>General</c:formatCode>
                <c:ptCount val="97"/>
                <c:pt idx="0">
                  <c:v>4269085</c:v>
                </c:pt>
                <c:pt idx="1">
                  <c:v>4449654</c:v>
                </c:pt>
                <c:pt idx="2">
                  <c:v>5083511</c:v>
                </c:pt>
                <c:pt idx="3">
                  <c:v>4357468</c:v>
                </c:pt>
                <c:pt idx="4">
                  <c:v>6074867</c:v>
                </c:pt>
                <c:pt idx="5">
                  <c:v>7978960</c:v>
                </c:pt>
                <c:pt idx="6">
                  <c:v>8771210</c:v>
                </c:pt>
                <c:pt idx="7">
                  <c:v>8837567</c:v>
                </c:pt>
                <c:pt idx="8">
                  <c:v>8879396</c:v>
                </c:pt>
                <c:pt idx="9">
                  <c:v>8594485</c:v>
                </c:pt>
                <c:pt idx="10">
                  <c:v>10052208</c:v>
                </c:pt>
                <c:pt idx="11">
                  <c:v>14176040</c:v>
                </c:pt>
                <c:pt idx="12">
                  <c:v>12904602</c:v>
                </c:pt>
                <c:pt idx="13">
                  <c:v>12809049</c:v>
                </c:pt>
                <c:pt idx="14">
                  <c:v>12903832</c:v>
                </c:pt>
                <c:pt idx="15">
                  <c:v>12342374</c:v>
                </c:pt>
                <c:pt idx="16">
                  <c:v>11381796</c:v>
                </c:pt>
                <c:pt idx="17">
                  <c:v>13886302</c:v>
                </c:pt>
                <c:pt idx="18">
                  <c:v>13086647</c:v>
                </c:pt>
                <c:pt idx="19">
                  <c:v>13210679</c:v>
                </c:pt>
                <c:pt idx="20">
                  <c:v>16311791</c:v>
                </c:pt>
                <c:pt idx="21">
                  <c:v>15064452</c:v>
                </c:pt>
                <c:pt idx="22">
                  <c:v>14635322</c:v>
                </c:pt>
                <c:pt idx="23">
                  <c:v>17763301</c:v>
                </c:pt>
                <c:pt idx="24">
                  <c:v>15577594</c:v>
                </c:pt>
                <c:pt idx="25">
                  <c:v>13452729</c:v>
                </c:pt>
                <c:pt idx="26">
                  <c:v>14096886</c:v>
                </c:pt>
                <c:pt idx="27">
                  <c:v>13835643</c:v>
                </c:pt>
                <c:pt idx="28">
                  <c:v>15437926</c:v>
                </c:pt>
                <c:pt idx="29">
                  <c:v>20929288</c:v>
                </c:pt>
                <c:pt idx="30">
                  <c:v>17226149</c:v>
                </c:pt>
                <c:pt idx="31">
                  <c:v>21030870</c:v>
                </c:pt>
                <c:pt idx="32">
                  <c:v>17815717</c:v>
                </c:pt>
                <c:pt idx="33">
                  <c:v>16469065</c:v>
                </c:pt>
                <c:pt idx="34">
                  <c:v>15419018</c:v>
                </c:pt>
                <c:pt idx="35">
                  <c:v>14591479</c:v>
                </c:pt>
                <c:pt idx="36">
                  <c:v>11026826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yVal>
        </c:ser>
        <c:axId val="111276416"/>
        <c:axId val="111278720"/>
      </c:scatterChart>
      <c:valAx>
        <c:axId val="111276416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9434610885288688"/>
              <c:y val="0.88619854721549662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 sz="1200"/>
            </a:pPr>
            <a:endParaRPr lang="en-US"/>
          </a:p>
        </c:txPr>
        <c:crossAx val="111278720"/>
        <c:crosses val="autoZero"/>
        <c:crossBetween val="midCat"/>
        <c:majorUnit val="5"/>
        <c:minorUnit val="3.8539999999999988"/>
      </c:valAx>
      <c:valAx>
        <c:axId val="1112787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Catch</a:t>
                </a:r>
              </a:p>
            </c:rich>
          </c:tx>
          <c:layout>
            <c:manualLayout>
              <c:xMode val="edge"/>
              <c:yMode val="edge"/>
              <c:x val="2.5848162554399354E-2"/>
              <c:y val="0.3898305084745774"/>
            </c:manualLayout>
          </c:layout>
        </c:title>
        <c:numFmt formatCode="0" sourceLinked="0"/>
        <c:tickLblPos val="nextTo"/>
        <c:txPr>
          <a:bodyPr rot="0" vert="horz"/>
          <a:lstStyle/>
          <a:p>
            <a:pPr>
              <a:defRPr sz="1200"/>
            </a:pPr>
            <a:endParaRPr lang="en-US"/>
          </a:p>
        </c:txPr>
        <c:crossAx val="111276416"/>
        <c:crosses val="autoZero"/>
        <c:crossBetween val="midCat"/>
        <c:dispUnits>
          <c:builtInUnit val="millions"/>
          <c:dispUnitsLbl>
            <c:layout/>
            <c:txPr>
              <a:bodyPr/>
              <a:lstStyle/>
              <a:p>
                <a:pPr>
                  <a:defRPr sz="1100"/>
                </a:pPr>
                <a:endParaRPr lang="en-US"/>
              </a:p>
            </c:txPr>
          </c:dispUnitsLbl>
        </c:dispUnits>
      </c:valAx>
    </c:plotArea>
    <c:plotVisOnly val="1"/>
    <c:dispBlanksAs val="gap"/>
  </c:chart>
  <c:printSettings>
    <c:headerFooter alignWithMargins="0"/>
    <c:pageMargins b="1" l="0.750000000000002" r="0.750000000000002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Variables'!$I$14:$J$14</c:f>
          <c:strCache>
            <c:ptCount val="1"/>
            <c:pt idx="0">
              <c:v>ATL Spawning Biomass</c:v>
            </c:pt>
          </c:strCache>
        </c:strRef>
      </c:tx>
      <c:layout>
        <c:manualLayout>
          <c:xMode val="edge"/>
          <c:yMode val="edge"/>
          <c:x val="0.29569944223832673"/>
          <c:y val="3.1553435453764468E-2"/>
        </c:manualLayout>
      </c:layout>
    </c:title>
    <c:plotArea>
      <c:layout>
        <c:manualLayout>
          <c:layoutTarget val="inner"/>
          <c:xMode val="edge"/>
          <c:yMode val="edge"/>
          <c:x val="0.18880123278146335"/>
          <c:y val="0.19174780006518324"/>
          <c:w val="0.63915734876815811"/>
          <c:h val="0.54611715208438272"/>
        </c:manualLayout>
      </c:layout>
      <c:scatterChart>
        <c:scatterStyle val="lineMarker"/>
        <c:ser>
          <c:idx val="0"/>
          <c:order val="0"/>
          <c:tx>
            <c:strRef>
              <c:f>'Table4-SSB-R'!$B$3</c:f>
              <c:strCache>
                <c:ptCount val="1"/>
                <c:pt idx="0">
                  <c:v>Spawning Biomass</c:v>
                </c:pt>
              </c:strCache>
            </c:strRef>
          </c:tx>
          <c:xVal>
            <c:numRef>
              <c:f>'Table4-SSB-R'!$A$4:$A$100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'Table4-SSB-R'!$B$4:$B$100</c:f>
              <c:numCache>
                <c:formatCode>General</c:formatCode>
                <c:ptCount val="97"/>
                <c:pt idx="0">
                  <c:v>154261</c:v>
                </c:pt>
                <c:pt idx="1">
                  <c:v>150946</c:v>
                </c:pt>
                <c:pt idx="2">
                  <c:v>170812</c:v>
                </c:pt>
                <c:pt idx="3">
                  <c:v>178555</c:v>
                </c:pt>
                <c:pt idx="4">
                  <c:v>187625</c:v>
                </c:pt>
                <c:pt idx="5">
                  <c:v>175156</c:v>
                </c:pt>
                <c:pt idx="6">
                  <c:v>149233</c:v>
                </c:pt>
                <c:pt idx="7">
                  <c:v>138974</c:v>
                </c:pt>
                <c:pt idx="8">
                  <c:v>153957</c:v>
                </c:pt>
                <c:pt idx="9">
                  <c:v>172693</c:v>
                </c:pt>
                <c:pt idx="10">
                  <c:v>189871</c:v>
                </c:pt>
                <c:pt idx="11">
                  <c:v>188866</c:v>
                </c:pt>
                <c:pt idx="12">
                  <c:v>170050</c:v>
                </c:pt>
                <c:pt idx="13">
                  <c:v>126361</c:v>
                </c:pt>
                <c:pt idx="14">
                  <c:v>120439</c:v>
                </c:pt>
                <c:pt idx="15">
                  <c:v>144786</c:v>
                </c:pt>
                <c:pt idx="16">
                  <c:v>155306</c:v>
                </c:pt>
                <c:pt idx="17">
                  <c:v>157134</c:v>
                </c:pt>
                <c:pt idx="18">
                  <c:v>208692</c:v>
                </c:pt>
                <c:pt idx="19">
                  <c:v>240610</c:v>
                </c:pt>
                <c:pt idx="20">
                  <c:v>227733</c:v>
                </c:pt>
                <c:pt idx="21">
                  <c:v>189606</c:v>
                </c:pt>
                <c:pt idx="22">
                  <c:v>185093</c:v>
                </c:pt>
                <c:pt idx="23">
                  <c:v>182576</c:v>
                </c:pt>
                <c:pt idx="24">
                  <c:v>171938</c:v>
                </c:pt>
                <c:pt idx="25">
                  <c:v>169956</c:v>
                </c:pt>
                <c:pt idx="26">
                  <c:v>187714</c:v>
                </c:pt>
                <c:pt idx="27">
                  <c:v>183662</c:v>
                </c:pt>
                <c:pt idx="28">
                  <c:v>175069</c:v>
                </c:pt>
                <c:pt idx="29">
                  <c:v>157455</c:v>
                </c:pt>
                <c:pt idx="30">
                  <c:v>162873</c:v>
                </c:pt>
                <c:pt idx="31">
                  <c:v>180958</c:v>
                </c:pt>
                <c:pt idx="32">
                  <c:v>168552</c:v>
                </c:pt>
                <c:pt idx="33">
                  <c:v>141996</c:v>
                </c:pt>
                <c:pt idx="34">
                  <c:v>132322</c:v>
                </c:pt>
                <c:pt idx="35">
                  <c:v>107609</c:v>
                </c:pt>
                <c:pt idx="36">
                  <c:v>117923</c:v>
                </c:pt>
              </c:numCache>
            </c:numRef>
          </c:yVal>
        </c:ser>
        <c:axId val="111324160"/>
        <c:axId val="111330432"/>
      </c:scatterChart>
      <c:valAx>
        <c:axId val="11132416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Year</a:t>
                </a:r>
              </a:p>
            </c:rich>
          </c:tx>
          <c:layout>
            <c:manualLayout>
              <c:xMode val="edge"/>
              <c:yMode val="edge"/>
              <c:x val="0.47849546107656582"/>
              <c:y val="0.88835056739059581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 sz="1200"/>
            </a:pPr>
            <a:endParaRPr lang="en-US"/>
          </a:p>
        </c:txPr>
        <c:crossAx val="111330432"/>
        <c:crosses val="autoZero"/>
        <c:crossBetween val="midCat"/>
        <c:majorUnit val="5"/>
        <c:minorUnit val="3.8539999999999988"/>
      </c:valAx>
      <c:valAx>
        <c:axId val="1113304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Spawning Biomass</a:t>
                </a:r>
              </a:p>
            </c:rich>
          </c:tx>
          <c:layout>
            <c:manualLayout>
              <c:xMode val="edge"/>
              <c:yMode val="edge"/>
              <c:x val="2.6881767476211786E-2"/>
              <c:y val="0.24029154691712895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200"/>
            </a:pPr>
            <a:endParaRPr lang="en-US"/>
          </a:p>
        </c:txPr>
        <c:crossAx val="111324160"/>
        <c:crosses val="autoZero"/>
        <c:crossBetween val="midCat"/>
        <c:dispUnits>
          <c:builtInUnit val="thousands"/>
          <c:dispUnitsLbl>
            <c:layout/>
          </c:dispUnitsLbl>
        </c:dispUnits>
      </c:valAx>
    </c:plotArea>
    <c:plotVisOnly val="1"/>
    <c:dispBlanksAs val="gap"/>
  </c:chart>
  <c:printSettings>
    <c:headerFooter alignWithMargins="0"/>
    <c:pageMargins b="1" l="0.750000000000002" r="0.750000000000002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Variables'!$I$15:$J$15</c:f>
          <c:strCache>
            <c:ptCount val="1"/>
            <c:pt idx="0">
              <c:v>ATL Recruitment</c:v>
            </c:pt>
          </c:strCache>
        </c:strRef>
      </c:tx>
      <c:layout>
        <c:manualLayout>
          <c:xMode val="edge"/>
          <c:yMode val="edge"/>
          <c:x val="0.34883751400861784"/>
          <c:y val="3.1476997578692663E-2"/>
        </c:manualLayout>
      </c:layout>
    </c:title>
    <c:plotArea>
      <c:layout>
        <c:manualLayout>
          <c:layoutTarget val="inner"/>
          <c:xMode val="edge"/>
          <c:yMode val="edge"/>
          <c:x val="0.18014622502145541"/>
          <c:y val="0.19370460048426191"/>
          <c:w val="0.64633035224378999"/>
          <c:h val="0.5447941888619855"/>
        </c:manualLayout>
      </c:layout>
      <c:scatterChart>
        <c:scatterStyle val="lineMarker"/>
        <c:ser>
          <c:idx val="0"/>
          <c:order val="0"/>
          <c:tx>
            <c:strRef>
              <c:f>'Table4-SSB-R'!$C$3</c:f>
              <c:strCache>
                <c:ptCount val="1"/>
                <c:pt idx="0">
                  <c:v>Recruits from VPA</c:v>
                </c:pt>
              </c:strCache>
            </c:strRef>
          </c:tx>
          <c:xVal>
            <c:numRef>
              <c:f>'Table4-SSB-R'!$A$4:$A$100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'Table4-SSB-R'!$C$4:$C$100</c:f>
              <c:numCache>
                <c:formatCode>General</c:formatCode>
                <c:ptCount val="97"/>
                <c:pt idx="0">
                  <c:v>44231070</c:v>
                </c:pt>
                <c:pt idx="1">
                  <c:v>45651799</c:v>
                </c:pt>
                <c:pt idx="2">
                  <c:v>39795295</c:v>
                </c:pt>
                <c:pt idx="3">
                  <c:v>43801670</c:v>
                </c:pt>
                <c:pt idx="4">
                  <c:v>45470565</c:v>
                </c:pt>
                <c:pt idx="5">
                  <c:v>57293840</c:v>
                </c:pt>
                <c:pt idx="6">
                  <c:v>62213229</c:v>
                </c:pt>
                <c:pt idx="7">
                  <c:v>55977924</c:v>
                </c:pt>
                <c:pt idx="8">
                  <c:v>52541031</c:v>
                </c:pt>
                <c:pt idx="9">
                  <c:v>55595408</c:v>
                </c:pt>
                <c:pt idx="10">
                  <c:v>49213505</c:v>
                </c:pt>
                <c:pt idx="11">
                  <c:v>71134399</c:v>
                </c:pt>
                <c:pt idx="12">
                  <c:v>58170110</c:v>
                </c:pt>
                <c:pt idx="13">
                  <c:v>75448936</c:v>
                </c:pt>
                <c:pt idx="14">
                  <c:v>57706541</c:v>
                </c:pt>
                <c:pt idx="15">
                  <c:v>75458671</c:v>
                </c:pt>
                <c:pt idx="16">
                  <c:v>68909667</c:v>
                </c:pt>
                <c:pt idx="17">
                  <c:v>70226028</c:v>
                </c:pt>
                <c:pt idx="18">
                  <c:v>59961091</c:v>
                </c:pt>
                <c:pt idx="19">
                  <c:v>70868030</c:v>
                </c:pt>
                <c:pt idx="20">
                  <c:v>71435876</c:v>
                </c:pt>
                <c:pt idx="21">
                  <c:v>67626067</c:v>
                </c:pt>
                <c:pt idx="22">
                  <c:v>72814110</c:v>
                </c:pt>
                <c:pt idx="23">
                  <c:v>79871925</c:v>
                </c:pt>
                <c:pt idx="24">
                  <c:v>62225590</c:v>
                </c:pt>
                <c:pt idx="25">
                  <c:v>59834903</c:v>
                </c:pt>
                <c:pt idx="26">
                  <c:v>61094390</c:v>
                </c:pt>
                <c:pt idx="27">
                  <c:v>70644480</c:v>
                </c:pt>
                <c:pt idx="28">
                  <c:v>88801745</c:v>
                </c:pt>
                <c:pt idx="29">
                  <c:v>65684208</c:v>
                </c:pt>
                <c:pt idx="30">
                  <c:v>69766112</c:v>
                </c:pt>
                <c:pt idx="31">
                  <c:v>66438210</c:v>
                </c:pt>
                <c:pt idx="32">
                  <c:v>56453409</c:v>
                </c:pt>
                <c:pt idx="33">
                  <c:v>58769002</c:v>
                </c:pt>
                <c:pt idx="34">
                  <c:v>60520122</c:v>
                </c:pt>
                <c:pt idx="35">
                  <c:v>60420651</c:v>
                </c:pt>
                <c:pt idx="36">
                  <c:v>59548555</c:v>
                </c:pt>
              </c:numCache>
            </c:numRef>
          </c:yVal>
        </c:ser>
        <c:axId val="111652864"/>
        <c:axId val="111655168"/>
      </c:scatterChart>
      <c:valAx>
        <c:axId val="1116528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Year</a:t>
                </a:r>
              </a:p>
            </c:rich>
          </c:tx>
          <c:layout>
            <c:manualLayout>
              <c:xMode val="edge"/>
              <c:yMode val="edge"/>
              <c:x val="0.48658360928381755"/>
              <c:y val="0.8886198547215497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 sz="1200"/>
            </a:pPr>
            <a:endParaRPr lang="en-US"/>
          </a:p>
        </c:txPr>
        <c:crossAx val="111655168"/>
        <c:crosses val="autoZero"/>
        <c:crossBetween val="midCat"/>
        <c:majorUnit val="5"/>
        <c:minorUnit val="3.8539999999999988"/>
      </c:valAx>
      <c:valAx>
        <c:axId val="11165516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Recuits</a:t>
                </a:r>
              </a:p>
            </c:rich>
          </c:tx>
          <c:layout>
            <c:manualLayout>
              <c:xMode val="edge"/>
              <c:yMode val="edge"/>
              <c:x val="2.5044744595490512E-2"/>
              <c:y val="0.3753026634382588"/>
            </c:manualLayout>
          </c:layout>
        </c:title>
        <c:numFmt formatCode="#,##0" sourceLinked="0"/>
        <c:tickLblPos val="nextTo"/>
        <c:txPr>
          <a:bodyPr rot="0" vert="horz"/>
          <a:lstStyle/>
          <a:p>
            <a:pPr>
              <a:defRPr sz="1200"/>
            </a:pPr>
            <a:endParaRPr lang="en-US"/>
          </a:p>
        </c:txPr>
        <c:crossAx val="111652864"/>
        <c:crosses val="autoZero"/>
        <c:crossBetween val="midCat"/>
        <c:dispUnits>
          <c:builtInUnit val="millions"/>
          <c:dispUnitsLbl>
            <c:layout/>
          </c:dispUnitsLbl>
        </c:dispUnits>
      </c:valAx>
    </c:plotArea>
    <c:plotVisOnly val="1"/>
    <c:dispBlanksAs val="gap"/>
  </c:chart>
  <c:printSettings>
    <c:headerFooter alignWithMargins="0"/>
    <c:pageMargins b="1" l="0.750000000000002" r="0.750000000000002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'Indices-Reg1'!$D$1:$F$1</c:f>
          <c:strCache>
            <c:ptCount val="1"/>
            <c:pt idx="0">
              <c:v>ATL BRA_BB</c:v>
            </c:pt>
          </c:strCache>
        </c:strRef>
      </c:tx>
      <c:layout>
        <c:manualLayout>
          <c:xMode val="edge"/>
          <c:yMode val="edge"/>
          <c:x val="0.35654596100278674"/>
          <c:y val="7.570977917981075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'Indices-Reg1'!$J$12:$J$100</c:f>
              <c:numCache>
                <c:formatCode>General</c:formatCode>
                <c:ptCount val="89"/>
                <c:pt idx="0">
                  <c:v>1.391</c:v>
                </c:pt>
                <c:pt idx="1">
                  <c:v>0.21199999999999999</c:v>
                </c:pt>
                <c:pt idx="2">
                  <c:v>0.57599999999999996</c:v>
                </c:pt>
                <c:pt idx="3">
                  <c:v>0.28000000000000003</c:v>
                </c:pt>
                <c:pt idx="4">
                  <c:v>0.20899999999999999</c:v>
                </c:pt>
                <c:pt idx="5">
                  <c:v>0.20899999999999999</c:v>
                </c:pt>
                <c:pt idx="6">
                  <c:v>0.29499999999999998</c:v>
                </c:pt>
                <c:pt idx="7">
                  <c:v>0.32700000000000001</c:v>
                </c:pt>
                <c:pt idx="8">
                  <c:v>0.29899999999999999</c:v>
                </c:pt>
                <c:pt idx="9">
                  <c:v>0.62</c:v>
                </c:pt>
                <c:pt idx="10">
                  <c:v>0.187</c:v>
                </c:pt>
                <c:pt idx="11">
                  <c:v>0.29499999999999998</c:v>
                </c:pt>
                <c:pt idx="12">
                  <c:v>0.35</c:v>
                </c:pt>
                <c:pt idx="13">
                  <c:v>0.21</c:v>
                </c:pt>
                <c:pt idx="14">
                  <c:v>0.104</c:v>
                </c:pt>
                <c:pt idx="15">
                  <c:v>0.28899999999999998</c:v>
                </c:pt>
                <c:pt idx="16">
                  <c:v>0.42199999999999999</c:v>
                </c:pt>
                <c:pt idx="17">
                  <c:v>0.32300000000000001</c:v>
                </c:pt>
                <c:pt idx="18">
                  <c:v>0.112</c:v>
                </c:pt>
                <c:pt idx="19">
                  <c:v>0.68100000000000005</c:v>
                </c:pt>
                <c:pt idx="20">
                  <c:v>0.29099999999999998</c:v>
                </c:pt>
                <c:pt idx="21">
                  <c:v>0.23799999999999999</c:v>
                </c:pt>
                <c:pt idx="22">
                  <c:v>9.0999999999999998E-2</c:v>
                </c:pt>
                <c:pt idx="23">
                  <c:v>0.10299999999999999</c:v>
                </c:pt>
                <c:pt idx="24">
                  <c:v>0.376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'Indices-Reg1'!$K$12:$K$100</c:f>
              <c:numCache>
                <c:formatCode>General</c:formatCode>
                <c:ptCount val="89"/>
                <c:pt idx="0">
                  <c:v>0.26500000000000001</c:v>
                </c:pt>
                <c:pt idx="1">
                  <c:v>0.24099999999999999</c:v>
                </c:pt>
                <c:pt idx="2">
                  <c:v>0.29399999999999998</c:v>
                </c:pt>
                <c:pt idx="3">
                  <c:v>0.29099999999999998</c:v>
                </c:pt>
                <c:pt idx="4">
                  <c:v>0.33100000000000002</c:v>
                </c:pt>
                <c:pt idx="5">
                  <c:v>0.313</c:v>
                </c:pt>
                <c:pt idx="6">
                  <c:v>0.39300000000000002</c:v>
                </c:pt>
                <c:pt idx="7">
                  <c:v>0.38</c:v>
                </c:pt>
                <c:pt idx="8">
                  <c:v>0.36399999999999999</c:v>
                </c:pt>
                <c:pt idx="9">
                  <c:v>0.318</c:v>
                </c:pt>
                <c:pt idx="10">
                  <c:v>0.35799999999999998</c:v>
                </c:pt>
                <c:pt idx="11">
                  <c:v>0.32600000000000001</c:v>
                </c:pt>
                <c:pt idx="12">
                  <c:v>0.26300000000000001</c:v>
                </c:pt>
                <c:pt idx="13">
                  <c:v>0.32900000000000001</c:v>
                </c:pt>
                <c:pt idx="14">
                  <c:v>0.35</c:v>
                </c:pt>
                <c:pt idx="15">
                  <c:v>0.30499999999999999</c:v>
                </c:pt>
                <c:pt idx="16">
                  <c:v>0.27600000000000002</c:v>
                </c:pt>
                <c:pt idx="17">
                  <c:v>0.247</c:v>
                </c:pt>
                <c:pt idx="18">
                  <c:v>0.248</c:v>
                </c:pt>
                <c:pt idx="19">
                  <c:v>0.22700000000000001</c:v>
                </c:pt>
                <c:pt idx="20">
                  <c:v>0.20599999999999999</c:v>
                </c:pt>
                <c:pt idx="21">
                  <c:v>0.19500000000000001</c:v>
                </c:pt>
                <c:pt idx="22">
                  <c:v>0.16700000000000001</c:v>
                </c:pt>
                <c:pt idx="23">
                  <c:v>0.191</c:v>
                </c:pt>
                <c:pt idx="24">
                  <c:v>0.219</c:v>
                </c:pt>
              </c:numCache>
            </c:numRef>
          </c:yVal>
        </c:ser>
        <c:axId val="112147072"/>
        <c:axId val="112177920"/>
      </c:scatterChart>
      <c:valAx>
        <c:axId val="11214707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177920"/>
        <c:crosses val="autoZero"/>
        <c:crossBetween val="midCat"/>
        <c:majorUnit val="5"/>
        <c:minorUnit val="3.8539999999999988"/>
      </c:valAx>
      <c:valAx>
        <c:axId val="112177920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147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'Indices-Reg1'!$D$1:$F$1</c:f>
          <c:strCache>
            <c:ptCount val="1"/>
            <c:pt idx="0">
              <c:v>ATL BRA_BB</c:v>
            </c:pt>
          </c:strCache>
        </c:strRef>
      </c:tx>
      <c:layout>
        <c:manualLayout>
          <c:xMode val="edge"/>
          <c:yMode val="edge"/>
          <c:x val="0.3240227883079696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832429284366931"/>
          <c:y val="0.19682600702507139"/>
          <c:w val="0.68715177520482662"/>
          <c:h val="0.48571579152961303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'Indices-Reg1'!$L$12:$L$100</c:f>
              <c:numCache>
                <c:formatCode>General</c:formatCode>
                <c:ptCount val="89"/>
                <c:pt idx="0">
                  <c:v>15.053000000000001</c:v>
                </c:pt>
                <c:pt idx="1">
                  <c:v>0.154</c:v>
                </c:pt>
                <c:pt idx="2">
                  <c:v>0.434</c:v>
                </c:pt>
                <c:pt idx="3">
                  <c:v>9.7000000000000003E-2</c:v>
                </c:pt>
                <c:pt idx="4">
                  <c:v>0.39900000000000002</c:v>
                </c:pt>
                <c:pt idx="5">
                  <c:v>0.35499999999999998</c:v>
                </c:pt>
                <c:pt idx="6">
                  <c:v>0.26900000000000002</c:v>
                </c:pt>
                <c:pt idx="7">
                  <c:v>0.16800000000000001</c:v>
                </c:pt>
                <c:pt idx="8">
                  <c:v>0.20200000000000001</c:v>
                </c:pt>
                <c:pt idx="9">
                  <c:v>0.43</c:v>
                </c:pt>
                <c:pt idx="10">
                  <c:v>0.54600000000000004</c:v>
                </c:pt>
                <c:pt idx="11">
                  <c:v>0.13600000000000001</c:v>
                </c:pt>
                <c:pt idx="12">
                  <c:v>2E-3</c:v>
                </c:pt>
                <c:pt idx="13">
                  <c:v>0.39500000000000002</c:v>
                </c:pt>
                <c:pt idx="14">
                  <c:v>0.92400000000000004</c:v>
                </c:pt>
                <c:pt idx="15">
                  <c:v>0.106</c:v>
                </c:pt>
                <c:pt idx="16">
                  <c:v>5.8000000000000003E-2</c:v>
                </c:pt>
                <c:pt idx="17">
                  <c:v>1E-3</c:v>
                </c:pt>
                <c:pt idx="18">
                  <c:v>0.65500000000000003</c:v>
                </c:pt>
                <c:pt idx="19">
                  <c:v>2.802</c:v>
                </c:pt>
                <c:pt idx="20">
                  <c:v>1.6E-2</c:v>
                </c:pt>
                <c:pt idx="21">
                  <c:v>3.0000000000000001E-3</c:v>
                </c:pt>
                <c:pt idx="22">
                  <c:v>0.51900000000000002</c:v>
                </c:pt>
                <c:pt idx="23">
                  <c:v>0.51900000000000002</c:v>
                </c:pt>
                <c:pt idx="24">
                  <c:v>0.17699999999999999</c:v>
                </c:pt>
              </c:numCache>
            </c:numRef>
          </c:yVal>
        </c:ser>
        <c:axId val="112322816"/>
        <c:axId val="112347392"/>
      </c:scatterChart>
      <c:valAx>
        <c:axId val="11232281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7206768296591806"/>
              <c:y val="0.860320127480554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347392"/>
        <c:crosses val="autoZero"/>
        <c:crossBetween val="midCat"/>
        <c:majorUnit val="5"/>
        <c:minorUnit val="3.8539999999999988"/>
      </c:valAx>
      <c:valAx>
        <c:axId val="1123473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4.7486098286512422E-2"/>
              <c:y val="0.133333746694403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32281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'Indices-Reg1'!$D$1:$F$1</c:f>
          <c:strCache>
            <c:ptCount val="1"/>
            <c:pt idx="0">
              <c:v>ATL BRA_BB</c:v>
            </c:pt>
          </c:strCache>
        </c:strRef>
      </c:tx>
      <c:layout>
        <c:manualLayout>
          <c:xMode val="edge"/>
          <c:yMode val="edge"/>
          <c:x val="0.37883008356546138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5996"/>
          <c:h val="0.43038041185660159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'Indices-Reg1'!$G$12:$G$100</c:f>
              <c:numCache>
                <c:formatCode>General</c:formatCode>
                <c:ptCount val="89"/>
                <c:pt idx="0">
                  <c:v>1.659</c:v>
                </c:pt>
                <c:pt idx="1">
                  <c:v>-0.13</c:v>
                </c:pt>
                <c:pt idx="2">
                  <c:v>0.67100000000000004</c:v>
                </c:pt>
                <c:pt idx="3">
                  <c:v>-3.9E-2</c:v>
                </c:pt>
                <c:pt idx="4">
                  <c:v>-0.45700000000000002</c:v>
                </c:pt>
                <c:pt idx="5">
                  <c:v>-0.4</c:v>
                </c:pt>
                <c:pt idx="6">
                  <c:v>-0.28799999999999998</c:v>
                </c:pt>
                <c:pt idx="7">
                  <c:v>-0.15</c:v>
                </c:pt>
                <c:pt idx="8">
                  <c:v>-0.19800000000000001</c:v>
                </c:pt>
                <c:pt idx="9">
                  <c:v>0.66900000000000004</c:v>
                </c:pt>
                <c:pt idx="10">
                  <c:v>-0.64800000000000002</c:v>
                </c:pt>
                <c:pt idx="11">
                  <c:v>-0.10299999999999999</c:v>
                </c:pt>
                <c:pt idx="12">
                  <c:v>0.28499999999999998</c:v>
                </c:pt>
                <c:pt idx="13">
                  <c:v>-0.45200000000000001</c:v>
                </c:pt>
                <c:pt idx="14">
                  <c:v>-1.218</c:v>
                </c:pt>
                <c:pt idx="15">
                  <c:v>-5.3999999999999999E-2</c:v>
                </c:pt>
                <c:pt idx="16">
                  <c:v>0.42399999999999999</c:v>
                </c:pt>
                <c:pt idx="17">
                  <c:v>0.27</c:v>
                </c:pt>
                <c:pt idx="18">
                  <c:v>-0.79500000000000004</c:v>
                </c:pt>
                <c:pt idx="19">
                  <c:v>1.097</c:v>
                </c:pt>
                <c:pt idx="20">
                  <c:v>0.34300000000000003</c:v>
                </c:pt>
                <c:pt idx="21">
                  <c:v>0.20100000000000001</c:v>
                </c:pt>
                <c:pt idx="22">
                  <c:v>-0.61199999999999999</c:v>
                </c:pt>
                <c:pt idx="23">
                  <c:v>-0.61099999999999999</c:v>
                </c:pt>
                <c:pt idx="24">
                  <c:v>0.53700000000000003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'Indices-Reg1'!$A$3:$A$100</c:f>
              <c:numCache>
                <c:formatCode>General</c:formatCode>
                <c:ptCount val="9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  <c:pt idx="89">
                  <c:v>2059</c:v>
                </c:pt>
                <c:pt idx="90">
                  <c:v>2060</c:v>
                </c:pt>
                <c:pt idx="91">
                  <c:v>2061</c:v>
                </c:pt>
                <c:pt idx="92">
                  <c:v>2062</c:v>
                </c:pt>
                <c:pt idx="93">
                  <c:v>2063</c:v>
                </c:pt>
                <c:pt idx="94">
                  <c:v>2064</c:v>
                </c:pt>
                <c:pt idx="95">
                  <c:v>2065</c:v>
                </c:pt>
                <c:pt idx="96">
                  <c:v>2066</c:v>
                </c:pt>
                <c:pt idx="97">
                  <c:v>2067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12450176"/>
        <c:axId val="112538368"/>
      </c:scatterChart>
      <c:valAx>
        <c:axId val="11245017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33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538368"/>
        <c:crossesAt val="-4"/>
        <c:crossBetween val="midCat"/>
        <c:majorUnit val="5"/>
        <c:minorUnit val="3.8539999999999988"/>
      </c:valAx>
      <c:valAx>
        <c:axId val="112538368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450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'Indices-Reg1'!$O$1:$Q$1</c:f>
          <c:strCache>
            <c:ptCount val="1"/>
            <c:pt idx="0">
              <c:v>ATL BRA_LL</c:v>
            </c:pt>
          </c:strCache>
        </c:strRef>
      </c:tx>
      <c:layout>
        <c:manualLayout>
          <c:xMode val="edge"/>
          <c:yMode val="edge"/>
          <c:x val="0.30640668523677089"/>
          <c:y val="7.570977917981075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'Indices-Reg1'!$U$12:$U$100</c:f>
              <c:numCache>
                <c:formatCode>General</c:formatCode>
                <c:ptCount val="89"/>
                <c:pt idx="0">
                  <c:v>0.17699999999999999</c:v>
                </c:pt>
                <c:pt idx="1">
                  <c:v>0.224</c:v>
                </c:pt>
                <c:pt idx="2">
                  <c:v>0.28199999999999997</c:v>
                </c:pt>
                <c:pt idx="3">
                  <c:v>0.26200000000000001</c:v>
                </c:pt>
                <c:pt idx="4">
                  <c:v>0.313</c:v>
                </c:pt>
                <c:pt idx="5">
                  <c:v>0.17599999999999999</c:v>
                </c:pt>
                <c:pt idx="6">
                  <c:v>0.109</c:v>
                </c:pt>
                <c:pt idx="7">
                  <c:v>5.3999999999999999E-2</c:v>
                </c:pt>
                <c:pt idx="8">
                  <c:v>9.2999999999999999E-2</c:v>
                </c:pt>
                <c:pt idx="9">
                  <c:v>7.5999999999999998E-2</c:v>
                </c:pt>
                <c:pt idx="10">
                  <c:v>0.19900000000000001</c:v>
                </c:pt>
                <c:pt idx="11">
                  <c:v>0.161</c:v>
                </c:pt>
                <c:pt idx="12">
                  <c:v>0.20499999999999999</c:v>
                </c:pt>
                <c:pt idx="13">
                  <c:v>0.16400000000000001</c:v>
                </c:pt>
                <c:pt idx="14">
                  <c:v>0.14899999999999999</c:v>
                </c:pt>
                <c:pt idx="15">
                  <c:v>0.13600000000000001</c:v>
                </c:pt>
                <c:pt idx="16">
                  <c:v>8.3000000000000004E-2</c:v>
                </c:pt>
                <c:pt idx="17">
                  <c:v>0.14199999999999999</c:v>
                </c:pt>
                <c:pt idx="18">
                  <c:v>0.151</c:v>
                </c:pt>
                <c:pt idx="19">
                  <c:v>9.8000000000000004E-2</c:v>
                </c:pt>
                <c:pt idx="20">
                  <c:v>0.14499999999999999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'Indices-Reg1'!$V$12:$V$100</c:f>
              <c:numCache>
                <c:formatCode>General</c:formatCode>
                <c:ptCount val="89"/>
                <c:pt idx="0">
                  <c:v>0.16200000000000001</c:v>
                </c:pt>
                <c:pt idx="1">
                  <c:v>0.17399999999999999</c:v>
                </c:pt>
                <c:pt idx="2">
                  <c:v>0.187</c:v>
                </c:pt>
                <c:pt idx="3">
                  <c:v>0.17699999999999999</c:v>
                </c:pt>
                <c:pt idx="4">
                  <c:v>0.16700000000000001</c:v>
                </c:pt>
                <c:pt idx="5">
                  <c:v>0.16200000000000001</c:v>
                </c:pt>
                <c:pt idx="6">
                  <c:v>0.16200000000000001</c:v>
                </c:pt>
                <c:pt idx="7">
                  <c:v>0.16400000000000001</c:v>
                </c:pt>
                <c:pt idx="8">
                  <c:v>0.16200000000000001</c:v>
                </c:pt>
                <c:pt idx="9">
                  <c:v>0.156</c:v>
                </c:pt>
                <c:pt idx="10">
                  <c:v>0.151</c:v>
                </c:pt>
                <c:pt idx="11">
                  <c:v>0.14499999999999999</c:v>
                </c:pt>
                <c:pt idx="12">
                  <c:v>0.14799999999999999</c:v>
                </c:pt>
                <c:pt idx="13">
                  <c:v>0.156</c:v>
                </c:pt>
                <c:pt idx="14">
                  <c:v>0.151</c:v>
                </c:pt>
                <c:pt idx="15">
                  <c:v>0.14299999999999999</c:v>
                </c:pt>
                <c:pt idx="16">
                  <c:v>0.126</c:v>
                </c:pt>
                <c:pt idx="17">
                  <c:v>0.11</c:v>
                </c:pt>
                <c:pt idx="18">
                  <c:v>0.108</c:v>
                </c:pt>
                <c:pt idx="19">
                  <c:v>0.108</c:v>
                </c:pt>
                <c:pt idx="20">
                  <c:v>0.121</c:v>
                </c:pt>
              </c:numCache>
            </c:numRef>
          </c:yVal>
        </c:ser>
        <c:axId val="113003520"/>
        <c:axId val="113026176"/>
      </c:scatterChart>
      <c:valAx>
        <c:axId val="11300352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026176"/>
        <c:crosses val="autoZero"/>
        <c:crossBetween val="midCat"/>
        <c:majorUnit val="5"/>
        <c:minorUnit val="3.8539999999999988"/>
      </c:valAx>
      <c:valAx>
        <c:axId val="113026176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003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'Indices-Reg1'!$O$1:$Q$1</c:f>
          <c:strCache>
            <c:ptCount val="1"/>
            <c:pt idx="0">
              <c:v>ATL BRA_LL</c:v>
            </c:pt>
          </c:strCache>
        </c:strRef>
      </c:tx>
      <c:layout>
        <c:manualLayout>
          <c:xMode val="edge"/>
          <c:yMode val="edge"/>
          <c:x val="0.273743390122247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463719153335524"/>
          <c:y val="0.19682600702507139"/>
          <c:w val="0.6508388765151446"/>
          <c:h val="0.48571579152961303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'Indices-Reg1'!$W$12:$W$100</c:f>
              <c:numCache>
                <c:formatCode>General</c:formatCode>
                <c:ptCount val="89"/>
                <c:pt idx="0">
                  <c:v>3.4000000000000002E-2</c:v>
                </c:pt>
                <c:pt idx="1">
                  <c:v>0</c:v>
                </c:pt>
                <c:pt idx="2">
                  <c:v>0.05</c:v>
                </c:pt>
                <c:pt idx="3">
                  <c:v>3.7999999999999999E-2</c:v>
                </c:pt>
                <c:pt idx="4">
                  <c:v>0.33400000000000002</c:v>
                </c:pt>
                <c:pt idx="5">
                  <c:v>3.5999999999999997E-2</c:v>
                </c:pt>
                <c:pt idx="6">
                  <c:v>0.34699999999999998</c:v>
                </c:pt>
                <c:pt idx="7">
                  <c:v>0.86699999999999999</c:v>
                </c:pt>
                <c:pt idx="8">
                  <c:v>0.48099999999999998</c:v>
                </c:pt>
                <c:pt idx="9">
                  <c:v>0.59799999999999998</c:v>
                </c:pt>
                <c:pt idx="10">
                  <c:v>1E-3</c:v>
                </c:pt>
                <c:pt idx="11">
                  <c:v>2.9000000000000001E-2</c:v>
                </c:pt>
                <c:pt idx="12">
                  <c:v>0.01</c:v>
                </c:pt>
                <c:pt idx="13">
                  <c:v>0.05</c:v>
                </c:pt>
                <c:pt idx="14">
                  <c:v>8.1000000000000003E-2</c:v>
                </c:pt>
                <c:pt idx="15">
                  <c:v>0.104</c:v>
                </c:pt>
                <c:pt idx="16">
                  <c:v>0.36299999999999999</c:v>
                </c:pt>
                <c:pt idx="17">
                  <c:v>0</c:v>
                </c:pt>
                <c:pt idx="18">
                  <c:v>1.2E-2</c:v>
                </c:pt>
                <c:pt idx="19">
                  <c:v>0.13700000000000001</c:v>
                </c:pt>
                <c:pt idx="20">
                  <c:v>7.0000000000000001E-3</c:v>
                </c:pt>
              </c:numCache>
            </c:numRef>
          </c:yVal>
        </c:ser>
        <c:axId val="113455488"/>
        <c:axId val="113640960"/>
      </c:scatterChart>
      <c:valAx>
        <c:axId val="11345548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8882748236115814"/>
              <c:y val="0.860320127480554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640960"/>
        <c:crosses val="autoZero"/>
        <c:crossBetween val="midCat"/>
        <c:majorUnit val="5"/>
        <c:minorUnit val="3.8539999999999988"/>
      </c:valAx>
      <c:valAx>
        <c:axId val="1136409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4.7486098286512422E-2"/>
              <c:y val="0.133333746694403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455488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'Indices-Reg1'!$O$1:$Q$1</c:f>
          <c:strCache>
            <c:ptCount val="1"/>
            <c:pt idx="0">
              <c:v>ATL BRA_LL</c:v>
            </c:pt>
          </c:strCache>
        </c:strRef>
      </c:tx>
      <c:layout>
        <c:manualLayout>
          <c:xMode val="edge"/>
          <c:yMode val="edge"/>
          <c:x val="0.32869080779944559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5996"/>
          <c:h val="0.43038041185660159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'Indices-Reg1'!$R$12:$R$100</c:f>
              <c:numCache>
                <c:formatCode>General</c:formatCode>
                <c:ptCount val="89"/>
                <c:pt idx="0">
                  <c:v>8.6999999999999994E-2</c:v>
                </c:pt>
                <c:pt idx="1">
                  <c:v>0.25</c:v>
                </c:pt>
                <c:pt idx="2">
                  <c:v>0.41199999999999998</c:v>
                </c:pt>
                <c:pt idx="3">
                  <c:v>0.39200000000000002</c:v>
                </c:pt>
                <c:pt idx="4">
                  <c:v>0.627</c:v>
                </c:pt>
                <c:pt idx="5">
                  <c:v>8.3000000000000004E-2</c:v>
                </c:pt>
                <c:pt idx="6">
                  <c:v>-0.39</c:v>
                </c:pt>
                <c:pt idx="7">
                  <c:v>-1.119</c:v>
                </c:pt>
                <c:pt idx="8">
                  <c:v>-0.56200000000000006</c:v>
                </c:pt>
                <c:pt idx="9">
                  <c:v>-0.71599999999999997</c:v>
                </c:pt>
                <c:pt idx="10">
                  <c:v>0.27400000000000002</c:v>
                </c:pt>
                <c:pt idx="11">
                  <c:v>0.10199999999999999</c:v>
                </c:pt>
                <c:pt idx="12">
                  <c:v>0.32300000000000001</c:v>
                </c:pt>
                <c:pt idx="13">
                  <c:v>4.9000000000000002E-2</c:v>
                </c:pt>
                <c:pt idx="14">
                  <c:v>-1.0999999999999999E-2</c:v>
                </c:pt>
                <c:pt idx="15">
                  <c:v>-0.05</c:v>
                </c:pt>
                <c:pt idx="16">
                  <c:v>-0.41</c:v>
                </c:pt>
                <c:pt idx="17">
                  <c:v>0.254</c:v>
                </c:pt>
                <c:pt idx="18">
                  <c:v>0.33100000000000002</c:v>
                </c:pt>
                <c:pt idx="19">
                  <c:v>-0.104</c:v>
                </c:pt>
                <c:pt idx="20">
                  <c:v>0.17599999999999999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20456704"/>
        <c:axId val="120458624"/>
      </c:scatterChart>
      <c:valAx>
        <c:axId val="1204567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33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458624"/>
        <c:crossesAt val="-4"/>
        <c:crossBetween val="midCat"/>
        <c:majorUnit val="5"/>
        <c:minorUnit val="3.8539999999999988"/>
      </c:valAx>
      <c:valAx>
        <c:axId val="12045862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456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'Indices-Reg1'!$Z$1:$AB$1</c:f>
          <c:strCache>
            <c:ptCount val="1"/>
            <c:pt idx="0">
              <c:v>ATL JPN_LL</c:v>
            </c:pt>
          </c:strCache>
        </c:strRef>
      </c:tx>
      <c:layout>
        <c:manualLayout>
          <c:xMode val="edge"/>
          <c:yMode val="edge"/>
          <c:x val="0.35933147632311985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'Indices-Reg1'!$AF$12:$AF$100</c:f>
              <c:numCache>
                <c:formatCode>General</c:formatCode>
                <c:ptCount val="89"/>
                <c:pt idx="0">
                  <c:v>1.3640000000000001</c:v>
                </c:pt>
                <c:pt idx="1">
                  <c:v>1.069</c:v>
                </c:pt>
                <c:pt idx="2">
                  <c:v>1.5329999999999999</c:v>
                </c:pt>
                <c:pt idx="3">
                  <c:v>1.119</c:v>
                </c:pt>
                <c:pt idx="4">
                  <c:v>1.42</c:v>
                </c:pt>
                <c:pt idx="5">
                  <c:v>1.034</c:v>
                </c:pt>
                <c:pt idx="6">
                  <c:v>1.075</c:v>
                </c:pt>
                <c:pt idx="7">
                  <c:v>0.89300000000000002</c:v>
                </c:pt>
                <c:pt idx="8">
                  <c:v>1.266</c:v>
                </c:pt>
                <c:pt idx="9">
                  <c:v>1.7370000000000001</c:v>
                </c:pt>
                <c:pt idx="10">
                  <c:v>0.97399999999999998</c:v>
                </c:pt>
                <c:pt idx="11">
                  <c:v>1.234</c:v>
                </c:pt>
                <c:pt idx="12">
                  <c:v>1.0629999999999999</c:v>
                </c:pt>
                <c:pt idx="13">
                  <c:v>1.0960000000000001</c:v>
                </c:pt>
                <c:pt idx="14">
                  <c:v>1.1559999999999999</c:v>
                </c:pt>
                <c:pt idx="15">
                  <c:v>0.71799999999999997</c:v>
                </c:pt>
                <c:pt idx="16">
                  <c:v>0.95199999999999996</c:v>
                </c:pt>
                <c:pt idx="17">
                  <c:v>0.99099999999999999</c:v>
                </c:pt>
                <c:pt idx="18">
                  <c:v>1.03</c:v>
                </c:pt>
                <c:pt idx="19">
                  <c:v>0.78</c:v>
                </c:pt>
                <c:pt idx="20">
                  <c:v>1.0629999999999999</c:v>
                </c:pt>
                <c:pt idx="21">
                  <c:v>0.79700000000000004</c:v>
                </c:pt>
                <c:pt idx="22">
                  <c:v>0.83299999999999996</c:v>
                </c:pt>
                <c:pt idx="23">
                  <c:v>0.439</c:v>
                </c:pt>
                <c:pt idx="24">
                  <c:v>0.747</c:v>
                </c:pt>
                <c:pt idx="25">
                  <c:v>0.48899999999999999</c:v>
                </c:pt>
                <c:pt idx="26">
                  <c:v>0.52400000000000002</c:v>
                </c:pt>
                <c:pt idx="27">
                  <c:v>0.42599999999999999</c:v>
                </c:pt>
                <c:pt idx="28">
                  <c:v>0.503</c:v>
                </c:pt>
                <c:pt idx="29">
                  <c:v>0.51900000000000002</c:v>
                </c:pt>
                <c:pt idx="30">
                  <c:v>0.59899999999999998</c:v>
                </c:pt>
                <c:pt idx="31">
                  <c:v>0.39700000000000002</c:v>
                </c:pt>
                <c:pt idx="32">
                  <c:v>0.39700000000000002</c:v>
                </c:pt>
                <c:pt idx="33">
                  <c:v>0.47299999999999998</c:v>
                </c:pt>
                <c:pt idx="34">
                  <c:v>0.59799999999999998</c:v>
                </c:pt>
                <c:pt idx="35">
                  <c:v>0.436</c:v>
                </c:pt>
                <c:pt idx="36">
                  <c:v>0.64300000000000002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'Indices-Reg1'!$AG$12:$AG$100</c:f>
              <c:numCache>
                <c:formatCode>General</c:formatCode>
                <c:ptCount val="89"/>
                <c:pt idx="0">
                  <c:v>0.70299999999999996</c:v>
                </c:pt>
                <c:pt idx="1">
                  <c:v>0.747</c:v>
                </c:pt>
                <c:pt idx="2">
                  <c:v>0.81599999999999995</c:v>
                </c:pt>
                <c:pt idx="3">
                  <c:v>0.84899999999999998</c:v>
                </c:pt>
                <c:pt idx="4">
                  <c:v>0.85199999999999998</c:v>
                </c:pt>
                <c:pt idx="5">
                  <c:v>0.75700000000000001</c:v>
                </c:pt>
                <c:pt idx="6">
                  <c:v>0.68700000000000006</c:v>
                </c:pt>
                <c:pt idx="7">
                  <c:v>0.73199999999999998</c:v>
                </c:pt>
                <c:pt idx="8">
                  <c:v>0.84399999999999997</c:v>
                </c:pt>
                <c:pt idx="9">
                  <c:v>0.89600000000000002</c:v>
                </c:pt>
                <c:pt idx="10">
                  <c:v>0.94699999999999995</c:v>
                </c:pt>
                <c:pt idx="11">
                  <c:v>0.86499999999999999</c:v>
                </c:pt>
                <c:pt idx="12">
                  <c:v>0.72899999999999998</c:v>
                </c:pt>
                <c:pt idx="13">
                  <c:v>0.57699999999999996</c:v>
                </c:pt>
                <c:pt idx="14">
                  <c:v>0.73499999999999999</c:v>
                </c:pt>
                <c:pt idx="15">
                  <c:v>0.77100000000000002</c:v>
                </c:pt>
                <c:pt idx="16">
                  <c:v>0.8</c:v>
                </c:pt>
                <c:pt idx="17">
                  <c:v>0.92600000000000005</c:v>
                </c:pt>
                <c:pt idx="18">
                  <c:v>1.161</c:v>
                </c:pt>
                <c:pt idx="19">
                  <c:v>1.147</c:v>
                </c:pt>
                <c:pt idx="20">
                  <c:v>0.99099999999999999</c:v>
                </c:pt>
                <c:pt idx="21">
                  <c:v>0.91500000000000004</c:v>
                </c:pt>
                <c:pt idx="22">
                  <c:v>0.91100000000000003</c:v>
                </c:pt>
                <c:pt idx="23">
                  <c:v>0.89800000000000002</c:v>
                </c:pt>
                <c:pt idx="24">
                  <c:v>0.872</c:v>
                </c:pt>
                <c:pt idx="25">
                  <c:v>0.90300000000000002</c:v>
                </c:pt>
                <c:pt idx="26">
                  <c:v>0.93500000000000005</c:v>
                </c:pt>
                <c:pt idx="27">
                  <c:v>0.88300000000000001</c:v>
                </c:pt>
                <c:pt idx="28">
                  <c:v>0.79300000000000004</c:v>
                </c:pt>
                <c:pt idx="29">
                  <c:v>0.78900000000000003</c:v>
                </c:pt>
                <c:pt idx="30">
                  <c:v>0.83599999999999997</c:v>
                </c:pt>
                <c:pt idx="31">
                  <c:v>0.872</c:v>
                </c:pt>
                <c:pt idx="32">
                  <c:v>0.754</c:v>
                </c:pt>
                <c:pt idx="33">
                  <c:v>0.63400000000000001</c:v>
                </c:pt>
                <c:pt idx="34">
                  <c:v>0.57699999999999996</c:v>
                </c:pt>
                <c:pt idx="35">
                  <c:v>0.53800000000000003</c:v>
                </c:pt>
                <c:pt idx="36">
                  <c:v>0.60399999999999998</c:v>
                </c:pt>
              </c:numCache>
            </c:numRef>
          </c:yVal>
        </c:ser>
        <c:axId val="120675712"/>
        <c:axId val="120687232"/>
      </c:scatterChart>
      <c:valAx>
        <c:axId val="12067571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687232"/>
        <c:crosses val="autoZero"/>
        <c:crossBetween val="midCat"/>
        <c:majorUnit val="5"/>
        <c:minorUnit val="3.8539999999999988"/>
      </c:valAx>
      <c:valAx>
        <c:axId val="120687232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6757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'Indices-Reg1'!$Z$1:$AB$1</c:f>
          <c:strCache>
            <c:ptCount val="1"/>
            <c:pt idx="0">
              <c:v>ATL JPN_LL</c:v>
            </c:pt>
          </c:strCache>
        </c:strRef>
      </c:tx>
      <c:layout>
        <c:manualLayout>
          <c:xMode val="edge"/>
          <c:yMode val="edge"/>
          <c:x val="0.3016763891143155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346399193652891"/>
          <c:y val="0.19682600702507139"/>
          <c:w val="0.66201207611196655"/>
          <c:h val="0.48571579152961303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'Indices-Reg1'!$AH$12:$AH$100</c:f>
              <c:numCache>
                <c:formatCode>General</c:formatCode>
                <c:ptCount val="89"/>
                <c:pt idx="0">
                  <c:v>0.41299999999999998</c:v>
                </c:pt>
                <c:pt idx="1">
                  <c:v>2.1999999999999999E-2</c:v>
                </c:pt>
                <c:pt idx="2">
                  <c:v>0.34</c:v>
                </c:pt>
                <c:pt idx="3">
                  <c:v>1E-3</c:v>
                </c:pt>
                <c:pt idx="4">
                  <c:v>0.14099999999999999</c:v>
                </c:pt>
                <c:pt idx="5">
                  <c:v>7.0000000000000001E-3</c:v>
                </c:pt>
                <c:pt idx="6">
                  <c:v>7.6999999999999999E-2</c:v>
                </c:pt>
                <c:pt idx="7">
                  <c:v>3.0000000000000001E-3</c:v>
                </c:pt>
                <c:pt idx="8">
                  <c:v>4.5999999999999999E-2</c:v>
                </c:pt>
                <c:pt idx="9">
                  <c:v>0.41299999999999998</c:v>
                </c:pt>
                <c:pt idx="10">
                  <c:v>0.06</c:v>
                </c:pt>
                <c:pt idx="11">
                  <c:v>0.02</c:v>
                </c:pt>
                <c:pt idx="12">
                  <c:v>3.1E-2</c:v>
                </c:pt>
                <c:pt idx="13">
                  <c:v>0.36599999999999999</c:v>
                </c:pt>
                <c:pt idx="14">
                  <c:v>8.1000000000000003E-2</c:v>
                </c:pt>
                <c:pt idx="15">
                  <c:v>0.11600000000000001</c:v>
                </c:pt>
                <c:pt idx="16">
                  <c:v>8.0000000000000002E-3</c:v>
                </c:pt>
                <c:pt idx="17">
                  <c:v>4.2000000000000003E-2</c:v>
                </c:pt>
                <c:pt idx="18">
                  <c:v>0.14799999999999999</c:v>
                </c:pt>
                <c:pt idx="19">
                  <c:v>0.34399999999999997</c:v>
                </c:pt>
                <c:pt idx="20">
                  <c:v>4.1000000000000002E-2</c:v>
                </c:pt>
                <c:pt idx="21">
                  <c:v>0.16</c:v>
                </c:pt>
                <c:pt idx="22">
                  <c:v>0.128</c:v>
                </c:pt>
                <c:pt idx="23">
                  <c:v>0.59699999999999998</c:v>
                </c:pt>
                <c:pt idx="24">
                  <c:v>0.17100000000000001</c:v>
                </c:pt>
                <c:pt idx="25">
                  <c:v>0.52100000000000002</c:v>
                </c:pt>
                <c:pt idx="26">
                  <c:v>0.49399999999999999</c:v>
                </c:pt>
                <c:pt idx="27">
                  <c:v>0.60599999999999998</c:v>
                </c:pt>
                <c:pt idx="28">
                  <c:v>0.39700000000000002</c:v>
                </c:pt>
                <c:pt idx="29">
                  <c:v>0.37</c:v>
                </c:pt>
                <c:pt idx="30">
                  <c:v>0.30299999999999999</c:v>
                </c:pt>
                <c:pt idx="31">
                  <c:v>0.64800000000000002</c:v>
                </c:pt>
                <c:pt idx="32">
                  <c:v>0.54200000000000004</c:v>
                </c:pt>
                <c:pt idx="33">
                  <c:v>0.27200000000000002</c:v>
                </c:pt>
                <c:pt idx="34">
                  <c:v>5.7000000000000002E-2</c:v>
                </c:pt>
                <c:pt idx="35">
                  <c:v>0.21099999999999999</c:v>
                </c:pt>
                <c:pt idx="36">
                  <c:v>4.4999999999999998E-2</c:v>
                </c:pt>
              </c:numCache>
            </c:numRef>
          </c:yVal>
        </c:ser>
        <c:axId val="121053952"/>
        <c:axId val="121484800"/>
      </c:scatterChart>
      <c:valAx>
        <c:axId val="12105395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832408825627445"/>
              <c:y val="0.860320127480554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84800"/>
        <c:crosses val="autoZero"/>
        <c:crossBetween val="midCat"/>
        <c:majorUnit val="5"/>
        <c:minorUnit val="3.8539999999999988"/>
      </c:valAx>
      <c:valAx>
        <c:axId val="12148480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4.7486098286512422E-2"/>
              <c:y val="0.133333746694403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053952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'Indices-Reg1'!$Z$1:$AB$1</c:f>
          <c:strCache>
            <c:ptCount val="1"/>
            <c:pt idx="0">
              <c:v>ATL JPN_LL</c:v>
            </c:pt>
          </c:strCache>
        </c:strRef>
      </c:tx>
      <c:layout>
        <c:manualLayout>
          <c:xMode val="edge"/>
          <c:yMode val="edge"/>
          <c:x val="0.35654596100278674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5996"/>
          <c:h val="0.43038041185660159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'Indices-Reg1'!$AC$12:$AC$100</c:f>
              <c:numCache>
                <c:formatCode>General</c:formatCode>
                <c:ptCount val="89"/>
                <c:pt idx="0">
                  <c:v>0.66200000000000003</c:v>
                </c:pt>
                <c:pt idx="1">
                  <c:v>0.35899999999999999</c:v>
                </c:pt>
                <c:pt idx="2">
                  <c:v>0.63</c:v>
                </c:pt>
                <c:pt idx="3">
                  <c:v>0.27700000000000002</c:v>
                </c:pt>
                <c:pt idx="4">
                  <c:v>0.51</c:v>
                </c:pt>
                <c:pt idx="5">
                  <c:v>0.312</c:v>
                </c:pt>
                <c:pt idx="6">
                  <c:v>0.44800000000000001</c:v>
                </c:pt>
                <c:pt idx="7">
                  <c:v>0.19900000000000001</c:v>
                </c:pt>
                <c:pt idx="8">
                  <c:v>0.40600000000000003</c:v>
                </c:pt>
                <c:pt idx="9">
                  <c:v>0.66200000000000003</c:v>
                </c:pt>
                <c:pt idx="10">
                  <c:v>2.9000000000000001E-2</c:v>
                </c:pt>
                <c:pt idx="11">
                  <c:v>0.35599999999999998</c:v>
                </c:pt>
                <c:pt idx="12">
                  <c:v>0.378</c:v>
                </c:pt>
                <c:pt idx="13">
                  <c:v>0.64200000000000002</c:v>
                </c:pt>
                <c:pt idx="14">
                  <c:v>0.45300000000000001</c:v>
                </c:pt>
                <c:pt idx="15">
                  <c:v>-7.0999999999999994E-2</c:v>
                </c:pt>
                <c:pt idx="16">
                  <c:v>0.17299999999999999</c:v>
                </c:pt>
                <c:pt idx="17">
                  <c:v>6.8000000000000005E-2</c:v>
                </c:pt>
                <c:pt idx="18">
                  <c:v>-0.12</c:v>
                </c:pt>
                <c:pt idx="19">
                  <c:v>-0.38600000000000001</c:v>
                </c:pt>
                <c:pt idx="20">
                  <c:v>7.0999999999999994E-2</c:v>
                </c:pt>
                <c:pt idx="21">
                  <c:v>-0.13900000000000001</c:v>
                </c:pt>
                <c:pt idx="22">
                  <c:v>-8.8999999999999996E-2</c:v>
                </c:pt>
                <c:pt idx="23">
                  <c:v>-0.71599999999999997</c:v>
                </c:pt>
                <c:pt idx="24">
                  <c:v>-0.155</c:v>
                </c:pt>
                <c:pt idx="25">
                  <c:v>-0.61399999999999999</c:v>
                </c:pt>
                <c:pt idx="26">
                  <c:v>-0.57799999999999996</c:v>
                </c:pt>
                <c:pt idx="27">
                  <c:v>-0.72699999999999998</c:v>
                </c:pt>
                <c:pt idx="28">
                  <c:v>-0.45400000000000001</c:v>
                </c:pt>
                <c:pt idx="29">
                  <c:v>-0.42</c:v>
                </c:pt>
                <c:pt idx="30">
                  <c:v>-0.33300000000000002</c:v>
                </c:pt>
                <c:pt idx="31">
                  <c:v>-0.78600000000000003</c:v>
                </c:pt>
                <c:pt idx="32">
                  <c:v>-0.64100000000000001</c:v>
                </c:pt>
                <c:pt idx="33">
                  <c:v>-0.29199999999999998</c:v>
                </c:pt>
                <c:pt idx="34">
                  <c:v>3.5999999999999997E-2</c:v>
                </c:pt>
                <c:pt idx="35">
                  <c:v>-0.21</c:v>
                </c:pt>
                <c:pt idx="36">
                  <c:v>6.0999999999999999E-2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25950592"/>
        <c:axId val="125958784"/>
      </c:scatterChart>
      <c:valAx>
        <c:axId val="12595059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33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958784"/>
        <c:crossesAt val="-4"/>
        <c:crossBetween val="midCat"/>
        <c:majorUnit val="5"/>
        <c:minorUnit val="3.8539999999999988"/>
      </c:valAx>
      <c:valAx>
        <c:axId val="12595878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950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'Indices-Reg1'!$AL$1:$AN$1</c:f>
          <c:strCache>
            <c:ptCount val="1"/>
            <c:pt idx="0">
              <c:v>ATL USMEX_LL</c:v>
            </c:pt>
          </c:strCache>
        </c:strRef>
      </c:tx>
      <c:layout>
        <c:manualLayout>
          <c:xMode val="edge"/>
          <c:yMode val="edge"/>
          <c:x val="0.31754874651810583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'Indices-Reg1'!$AR$12:$AR$100</c:f>
              <c:numCache>
                <c:formatCode>General</c:formatCode>
                <c:ptCount val="89"/>
                <c:pt idx="0">
                  <c:v>1.151</c:v>
                </c:pt>
                <c:pt idx="1">
                  <c:v>1.589</c:v>
                </c:pt>
                <c:pt idx="2">
                  <c:v>1.012</c:v>
                </c:pt>
                <c:pt idx="3">
                  <c:v>0.89800000000000002</c:v>
                </c:pt>
                <c:pt idx="4">
                  <c:v>0.97699999999999998</c:v>
                </c:pt>
                <c:pt idx="5">
                  <c:v>0.90100000000000002</c:v>
                </c:pt>
                <c:pt idx="6">
                  <c:v>1.373</c:v>
                </c:pt>
                <c:pt idx="7">
                  <c:v>0.93799999999999994</c:v>
                </c:pt>
                <c:pt idx="8">
                  <c:v>0.74299999999999999</c:v>
                </c:pt>
                <c:pt idx="9">
                  <c:v>0.78700000000000003</c:v>
                </c:pt>
                <c:pt idx="10">
                  <c:v>0.91400000000000003</c:v>
                </c:pt>
                <c:pt idx="11">
                  <c:v>0.77100000000000002</c:v>
                </c:pt>
                <c:pt idx="12">
                  <c:v>0.70499999999999996</c:v>
                </c:pt>
                <c:pt idx="13">
                  <c:v>0.73699999999999999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'Indices-Reg1'!$AS$12:$AS$100</c:f>
              <c:numCache>
                <c:formatCode>General</c:formatCode>
                <c:ptCount val="89"/>
                <c:pt idx="0">
                  <c:v>1.113</c:v>
                </c:pt>
                <c:pt idx="1">
                  <c:v>1.089</c:v>
                </c:pt>
                <c:pt idx="2">
                  <c:v>1.1299999999999999</c:v>
                </c:pt>
                <c:pt idx="3">
                  <c:v>1.1479999999999999</c:v>
                </c:pt>
                <c:pt idx="4">
                  <c:v>1.0620000000000001</c:v>
                </c:pt>
                <c:pt idx="5">
                  <c:v>0.95699999999999996</c:v>
                </c:pt>
                <c:pt idx="6">
                  <c:v>0.96599999999999997</c:v>
                </c:pt>
                <c:pt idx="7">
                  <c:v>1.0329999999999999</c:v>
                </c:pt>
                <c:pt idx="8">
                  <c:v>1.069</c:v>
                </c:pt>
                <c:pt idx="9">
                  <c:v>0.89500000000000002</c:v>
                </c:pt>
                <c:pt idx="10">
                  <c:v>0.75700000000000001</c:v>
                </c:pt>
                <c:pt idx="11">
                  <c:v>0.69399999999999995</c:v>
                </c:pt>
                <c:pt idx="12">
                  <c:v>0.66500000000000004</c:v>
                </c:pt>
                <c:pt idx="13">
                  <c:v>0.75800000000000001</c:v>
                </c:pt>
              </c:numCache>
            </c:numRef>
          </c:yVal>
        </c:ser>
        <c:axId val="128377216"/>
        <c:axId val="128379520"/>
      </c:scatterChart>
      <c:valAx>
        <c:axId val="12837721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379520"/>
        <c:crosses val="autoZero"/>
        <c:crossBetween val="midCat"/>
        <c:majorUnit val="5"/>
        <c:minorUnit val="3.8539999999999988"/>
      </c:valAx>
      <c:valAx>
        <c:axId val="128379520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377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'Indices-Reg1'!$AL$1:$AN$1</c:f>
          <c:strCache>
            <c:ptCount val="1"/>
            <c:pt idx="0">
              <c:v>ATL USMEX_LL</c:v>
            </c:pt>
          </c:strCache>
        </c:strRef>
      </c:tx>
      <c:layout>
        <c:manualLayout>
          <c:xMode val="edge"/>
          <c:yMode val="edge"/>
          <c:x val="0.2597768906262147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402"/>
          <c:y val="0.23174675020693891"/>
          <c:w val="0.52793368095004856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'Indices-Reg1'!$AT$12:$AT$100</c:f>
              <c:numCache>
                <c:formatCode>General</c:formatCode>
                <c:ptCount val="89"/>
                <c:pt idx="0">
                  <c:v>5.8000000000000003E-2</c:v>
                </c:pt>
                <c:pt idx="1">
                  <c:v>0.03</c:v>
                </c:pt>
                <c:pt idx="2">
                  <c:v>0.14099999999999999</c:v>
                </c:pt>
                <c:pt idx="3">
                  <c:v>0.23699999999999999</c:v>
                </c:pt>
                <c:pt idx="4">
                  <c:v>0.124</c:v>
                </c:pt>
                <c:pt idx="5">
                  <c:v>0.109</c:v>
                </c:pt>
                <c:pt idx="6">
                  <c:v>1.9E-2</c:v>
                </c:pt>
                <c:pt idx="7">
                  <c:v>0.13200000000000001</c:v>
                </c:pt>
                <c:pt idx="8">
                  <c:v>0.32600000000000001</c:v>
                </c:pt>
                <c:pt idx="9">
                  <c:v>0.153</c:v>
                </c:pt>
                <c:pt idx="10">
                  <c:v>5.0000000000000001E-3</c:v>
                </c:pt>
                <c:pt idx="11">
                  <c:v>2.7E-2</c:v>
                </c:pt>
                <c:pt idx="12">
                  <c:v>4.5999999999999999E-2</c:v>
                </c:pt>
                <c:pt idx="13">
                  <c:v>0.09</c:v>
                </c:pt>
              </c:numCache>
            </c:numRef>
          </c:yVal>
        </c:ser>
        <c:axId val="128320256"/>
        <c:axId val="134492544"/>
      </c:scatterChart>
      <c:valAx>
        <c:axId val="12832025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492544"/>
        <c:crosses val="autoZero"/>
        <c:crossBetween val="midCat"/>
        <c:majorUnit val="5"/>
        <c:minorUnit val="3.8539999999999988"/>
      </c:valAx>
      <c:valAx>
        <c:axId val="1344925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32025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'Indices-Reg1'!$AX$1:$AZ$1</c:f>
          <c:strCache>
            <c:ptCount val="1"/>
            <c:pt idx="0">
              <c:v>ATL US_RR</c:v>
            </c:pt>
          </c:strCache>
        </c:strRef>
      </c:tx>
      <c:layout>
        <c:manualLayout>
          <c:xMode val="edge"/>
          <c:yMode val="edge"/>
          <c:x val="0.32311977715877604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'Indices-Reg1'!$AX$12:$AX$100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'Indices-Reg1'!$BD$12:$BD$100</c:f>
              <c:numCache>
                <c:formatCode>General</c:formatCode>
                <c:ptCount val="89"/>
                <c:pt idx="0">
                  <c:v>1.9390000000000001</c:v>
                </c:pt>
                <c:pt idx="1">
                  <c:v>0.92200000000000004</c:v>
                </c:pt>
                <c:pt idx="2">
                  <c:v>0.55800000000000005</c:v>
                </c:pt>
                <c:pt idx="3">
                  <c:v>0.56899999999999995</c:v>
                </c:pt>
                <c:pt idx="4">
                  <c:v>0.35399999999999998</c:v>
                </c:pt>
                <c:pt idx="5">
                  <c:v>0.56899999999999995</c:v>
                </c:pt>
                <c:pt idx="6">
                  <c:v>0.38800000000000001</c:v>
                </c:pt>
                <c:pt idx="7">
                  <c:v>0.88300000000000001</c:v>
                </c:pt>
                <c:pt idx="8">
                  <c:v>1.712</c:v>
                </c:pt>
                <c:pt idx="9">
                  <c:v>1.4379999999999999</c:v>
                </c:pt>
                <c:pt idx="10">
                  <c:v>0.43</c:v>
                </c:pt>
                <c:pt idx="11">
                  <c:v>0.38700000000000001</c:v>
                </c:pt>
                <c:pt idx="12">
                  <c:v>0.78</c:v>
                </c:pt>
                <c:pt idx="13">
                  <c:v>1.649</c:v>
                </c:pt>
                <c:pt idx="14">
                  <c:v>1.4359999999999999</c:v>
                </c:pt>
                <c:pt idx="15">
                  <c:v>1.536</c:v>
                </c:pt>
                <c:pt idx="16">
                  <c:v>1.042</c:v>
                </c:pt>
                <c:pt idx="17">
                  <c:v>1.169</c:v>
                </c:pt>
                <c:pt idx="18">
                  <c:v>1.0289999999999999</c:v>
                </c:pt>
                <c:pt idx="19">
                  <c:v>0.93799999999999994</c:v>
                </c:pt>
                <c:pt idx="20">
                  <c:v>1.2909999999999999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'Indices-Reg1'!$AX$12:$AX$100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'Indices-Reg1'!$BE$12:$BE$100</c:f>
              <c:numCache>
                <c:formatCode>General</c:formatCode>
                <c:ptCount val="89"/>
                <c:pt idx="0">
                  <c:v>0.95799999999999996</c:v>
                </c:pt>
                <c:pt idx="1">
                  <c:v>1.216</c:v>
                </c:pt>
                <c:pt idx="2">
                  <c:v>1.1479999999999999</c:v>
                </c:pt>
                <c:pt idx="3">
                  <c:v>1.0489999999999999</c:v>
                </c:pt>
                <c:pt idx="4">
                  <c:v>0.94899999999999995</c:v>
                </c:pt>
                <c:pt idx="5">
                  <c:v>1.006</c:v>
                </c:pt>
                <c:pt idx="6">
                  <c:v>1.004</c:v>
                </c:pt>
                <c:pt idx="7">
                  <c:v>0.97</c:v>
                </c:pt>
                <c:pt idx="8">
                  <c:v>1.006</c:v>
                </c:pt>
                <c:pt idx="9">
                  <c:v>1.024</c:v>
                </c:pt>
                <c:pt idx="10">
                  <c:v>0.89100000000000001</c:v>
                </c:pt>
                <c:pt idx="11">
                  <c:v>0.81499999999999995</c:v>
                </c:pt>
                <c:pt idx="12">
                  <c:v>0.80700000000000005</c:v>
                </c:pt>
                <c:pt idx="13">
                  <c:v>0.92400000000000004</c:v>
                </c:pt>
                <c:pt idx="14">
                  <c:v>0.99199999999999999</c:v>
                </c:pt>
                <c:pt idx="15">
                  <c:v>0.83299999999999996</c:v>
                </c:pt>
                <c:pt idx="16">
                  <c:v>0.65</c:v>
                </c:pt>
                <c:pt idx="17">
                  <c:v>0.67400000000000004</c:v>
                </c:pt>
                <c:pt idx="18">
                  <c:v>0.55800000000000005</c:v>
                </c:pt>
                <c:pt idx="19">
                  <c:v>0.69499999999999995</c:v>
                </c:pt>
                <c:pt idx="20">
                  <c:v>0.67800000000000005</c:v>
                </c:pt>
              </c:numCache>
            </c:numRef>
          </c:yVal>
        </c:ser>
        <c:axId val="134605056"/>
        <c:axId val="134621056"/>
      </c:scatterChart>
      <c:valAx>
        <c:axId val="134605056"/>
        <c:scaling>
          <c:orientation val="minMax"/>
          <c:max val="2007"/>
          <c:min val="1969"/>
        </c:scaling>
        <c:axPos val="b"/>
        <c:min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621056"/>
        <c:crosses val="autoZero"/>
        <c:crossBetween val="midCat"/>
        <c:majorUnit val="5"/>
        <c:minorUnit val="3.8539999999999988"/>
      </c:valAx>
      <c:valAx>
        <c:axId val="134621056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605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'Indices-Reg1'!$AX$1:$AZ$1</c:f>
          <c:strCache>
            <c:ptCount val="1"/>
            <c:pt idx="0">
              <c:v>ATL US_RR</c:v>
            </c:pt>
          </c:strCache>
        </c:strRef>
      </c:tx>
      <c:layout>
        <c:manualLayout>
          <c:xMode val="edge"/>
          <c:yMode val="edge"/>
          <c:x val="0.2653634904246279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078258770320757"/>
          <c:y val="0.23174675020693891"/>
          <c:w val="0.53910688054687572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'Indices-Reg1'!$AX$12:$AX$100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'Indices-Reg1'!$BF$12:$BF$100</c:f>
              <c:numCache>
                <c:formatCode>General</c:formatCode>
                <c:ptCount val="89"/>
                <c:pt idx="0">
                  <c:v>0.52800000000000002</c:v>
                </c:pt>
                <c:pt idx="1">
                  <c:v>0.26</c:v>
                </c:pt>
                <c:pt idx="2">
                  <c:v>0.60199999999999998</c:v>
                </c:pt>
                <c:pt idx="3">
                  <c:v>0.51900000000000002</c:v>
                </c:pt>
                <c:pt idx="4">
                  <c:v>0.78500000000000003</c:v>
                </c:pt>
                <c:pt idx="5">
                  <c:v>0.48699999999999999</c:v>
                </c:pt>
                <c:pt idx="6">
                  <c:v>0.76100000000000001</c:v>
                </c:pt>
                <c:pt idx="7">
                  <c:v>0.13</c:v>
                </c:pt>
                <c:pt idx="8">
                  <c:v>0.16900000000000001</c:v>
                </c:pt>
                <c:pt idx="9">
                  <c:v>1.4999999999999999E-2</c:v>
                </c:pt>
                <c:pt idx="10">
                  <c:v>0.60599999999999998</c:v>
                </c:pt>
                <c:pt idx="11">
                  <c:v>0.61799999999999999</c:v>
                </c:pt>
                <c:pt idx="12">
                  <c:v>9.4E-2</c:v>
                </c:pt>
                <c:pt idx="13">
                  <c:v>0.24299999999999999</c:v>
                </c:pt>
                <c:pt idx="14">
                  <c:v>2.5999999999999999E-2</c:v>
                </c:pt>
                <c:pt idx="15">
                  <c:v>0.30299999999999999</c:v>
                </c:pt>
                <c:pt idx="16">
                  <c:v>9.9000000000000005E-2</c:v>
                </c:pt>
                <c:pt idx="17">
                  <c:v>0.19500000000000001</c:v>
                </c:pt>
                <c:pt idx="18">
                  <c:v>0.30099999999999999</c:v>
                </c:pt>
                <c:pt idx="19">
                  <c:v>4.0000000000000001E-3</c:v>
                </c:pt>
                <c:pt idx="20">
                  <c:v>0.36899999999999999</c:v>
                </c:pt>
              </c:numCache>
            </c:numRef>
          </c:yVal>
        </c:ser>
        <c:axId val="134775936"/>
        <c:axId val="134784128"/>
      </c:scatterChart>
      <c:valAx>
        <c:axId val="13477593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910688054687572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784128"/>
        <c:crosses val="autoZero"/>
        <c:crossBetween val="midCat"/>
        <c:majorUnit val="5"/>
        <c:minorUnit val="3.8539999999999988"/>
      </c:valAx>
      <c:valAx>
        <c:axId val="13478412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77593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'Indices-Reg1'!$AX$1:$AZ$1</c:f>
          <c:strCache>
            <c:ptCount val="1"/>
            <c:pt idx="0">
              <c:v>ATL US_RR</c:v>
            </c:pt>
          </c:strCache>
        </c:strRef>
      </c:tx>
      <c:layout>
        <c:manualLayout>
          <c:xMode val="edge"/>
          <c:yMode val="edge"/>
          <c:x val="0.32033426183844294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5759548926320506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'Indices-Reg1'!$AX$12:$AX$100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'Indices-Reg1'!$BA$12:$BA$100</c:f>
              <c:numCache>
                <c:formatCode>General</c:formatCode>
                <c:ptCount val="89"/>
                <c:pt idx="0">
                  <c:v>0.70599999999999996</c:v>
                </c:pt>
                <c:pt idx="1">
                  <c:v>-0.27600000000000002</c:v>
                </c:pt>
                <c:pt idx="2">
                  <c:v>-0.72199999999999998</c:v>
                </c:pt>
                <c:pt idx="3">
                  <c:v>-0.61099999999999999</c:v>
                </c:pt>
                <c:pt idx="4">
                  <c:v>-0.98599999999999999</c:v>
                </c:pt>
                <c:pt idx="5">
                  <c:v>-0.56899999999999995</c:v>
                </c:pt>
                <c:pt idx="6">
                  <c:v>-0.95099999999999996</c:v>
                </c:pt>
                <c:pt idx="7">
                  <c:v>-9.2999999999999999E-2</c:v>
                </c:pt>
                <c:pt idx="8">
                  <c:v>0.53200000000000003</c:v>
                </c:pt>
                <c:pt idx="9">
                  <c:v>0.34</c:v>
                </c:pt>
                <c:pt idx="10">
                  <c:v>-0.72799999999999998</c:v>
                </c:pt>
                <c:pt idx="11">
                  <c:v>-0.745</c:v>
                </c:pt>
                <c:pt idx="12">
                  <c:v>-3.4000000000000002E-2</c:v>
                </c:pt>
                <c:pt idx="13">
                  <c:v>0.57999999999999996</c:v>
                </c:pt>
                <c:pt idx="14">
                  <c:v>0.37</c:v>
                </c:pt>
                <c:pt idx="15">
                  <c:v>0.61199999999999999</c:v>
                </c:pt>
                <c:pt idx="16">
                  <c:v>0.47199999999999998</c:v>
                </c:pt>
                <c:pt idx="17">
                  <c:v>0.55000000000000004</c:v>
                </c:pt>
                <c:pt idx="18">
                  <c:v>0.61099999999999999</c:v>
                </c:pt>
                <c:pt idx="19">
                  <c:v>0.3</c:v>
                </c:pt>
                <c:pt idx="20">
                  <c:v>0.64300000000000002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35021696"/>
        <c:axId val="135598080"/>
      </c:scatterChart>
      <c:valAx>
        <c:axId val="13502169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598080"/>
        <c:crossesAt val="-4"/>
        <c:crossBetween val="midCat"/>
        <c:majorUnit val="5"/>
        <c:minorUnit val="3.8539999999999988"/>
      </c:valAx>
      <c:valAx>
        <c:axId val="13559808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0216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'Indices-Reg1'!$BJ$1:$BK$1</c:f>
          <c:strCache>
            <c:ptCount val="1"/>
            <c:pt idx="0">
              <c:v>ATL US_PLL ATL</c:v>
            </c:pt>
          </c:strCache>
        </c:strRef>
      </c:tx>
      <c:layout>
        <c:manualLayout>
          <c:xMode val="edge"/>
          <c:yMode val="edge"/>
          <c:x val="0.35376044568245246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'Indices-Reg1'!$BJ$12:$BJ$100</c:f>
              <c:numCache>
                <c:formatCode>General</c:formatCode>
                <c:ptCount val="89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'Indices-Reg1'!$BP$12:$BP$100</c:f>
              <c:numCache>
                <c:formatCode>General</c:formatCode>
                <c:ptCount val="89"/>
                <c:pt idx="0">
                  <c:v>1.696</c:v>
                </c:pt>
                <c:pt idx="1">
                  <c:v>1.8109999999999999</c:v>
                </c:pt>
                <c:pt idx="2">
                  <c:v>1.6990000000000001</c:v>
                </c:pt>
                <c:pt idx="3">
                  <c:v>1.391</c:v>
                </c:pt>
                <c:pt idx="4">
                  <c:v>1.085</c:v>
                </c:pt>
                <c:pt idx="5">
                  <c:v>1.1639999999999999</c:v>
                </c:pt>
                <c:pt idx="6">
                  <c:v>0.71299999999999997</c:v>
                </c:pt>
                <c:pt idx="7">
                  <c:v>0.83199999999999996</c:v>
                </c:pt>
                <c:pt idx="8">
                  <c:v>0.90600000000000003</c:v>
                </c:pt>
                <c:pt idx="9">
                  <c:v>0.7</c:v>
                </c:pt>
                <c:pt idx="10">
                  <c:v>0.78</c:v>
                </c:pt>
                <c:pt idx="11">
                  <c:v>0.68700000000000006</c:v>
                </c:pt>
                <c:pt idx="12">
                  <c:v>0.78900000000000003</c:v>
                </c:pt>
                <c:pt idx="13">
                  <c:v>0.86099999999999999</c:v>
                </c:pt>
                <c:pt idx="14">
                  <c:v>0.75800000000000001</c:v>
                </c:pt>
                <c:pt idx="15">
                  <c:v>0.70299999999999996</c:v>
                </c:pt>
                <c:pt idx="16">
                  <c:v>0.61799999999999999</c:v>
                </c:pt>
                <c:pt idx="17">
                  <c:v>0.88600000000000001</c:v>
                </c:pt>
                <c:pt idx="18">
                  <c:v>0.93100000000000005</c:v>
                </c:pt>
                <c:pt idx="19">
                  <c:v>0.91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'Indices-Reg1'!$BJ$12:$BJ$100</c:f>
              <c:numCache>
                <c:formatCode>General</c:formatCode>
                <c:ptCount val="89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'Indices-Reg1'!$BQ$12:$BQ$100</c:f>
              <c:numCache>
                <c:formatCode>General</c:formatCode>
                <c:ptCount val="89"/>
                <c:pt idx="0">
                  <c:v>1.0960000000000001</c:v>
                </c:pt>
                <c:pt idx="1">
                  <c:v>1.341</c:v>
                </c:pt>
                <c:pt idx="2">
                  <c:v>1.284</c:v>
                </c:pt>
                <c:pt idx="3">
                  <c:v>1.113</c:v>
                </c:pt>
                <c:pt idx="4">
                  <c:v>1.042</c:v>
                </c:pt>
                <c:pt idx="5">
                  <c:v>1.0569999999999999</c:v>
                </c:pt>
                <c:pt idx="6">
                  <c:v>1.034</c:v>
                </c:pt>
                <c:pt idx="7">
                  <c:v>1.0109999999999999</c:v>
                </c:pt>
                <c:pt idx="8">
                  <c:v>1.0489999999999999</c:v>
                </c:pt>
                <c:pt idx="9">
                  <c:v>1.069</c:v>
                </c:pt>
                <c:pt idx="10">
                  <c:v>0.97899999999999998</c:v>
                </c:pt>
                <c:pt idx="11">
                  <c:v>0.88100000000000001</c:v>
                </c:pt>
                <c:pt idx="12">
                  <c:v>0.88700000000000001</c:v>
                </c:pt>
                <c:pt idx="13">
                  <c:v>0.95099999999999996</c:v>
                </c:pt>
                <c:pt idx="14">
                  <c:v>0.999</c:v>
                </c:pt>
                <c:pt idx="15">
                  <c:v>0.82199999999999995</c:v>
                </c:pt>
                <c:pt idx="16">
                  <c:v>0.68899999999999995</c:v>
                </c:pt>
                <c:pt idx="17">
                  <c:v>0.64500000000000002</c:v>
                </c:pt>
                <c:pt idx="18">
                  <c:v>0.60799999999999998</c:v>
                </c:pt>
                <c:pt idx="19">
                  <c:v>0.71199999999999997</c:v>
                </c:pt>
              </c:numCache>
            </c:numRef>
          </c:yVal>
        </c:ser>
        <c:axId val="136145536"/>
        <c:axId val="136152960"/>
      </c:scatterChart>
      <c:valAx>
        <c:axId val="13614553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52960"/>
        <c:crosses val="autoZero"/>
        <c:crossBetween val="midCat"/>
        <c:majorUnit val="5"/>
        <c:minorUnit val="3.8539999999999988"/>
      </c:valAx>
      <c:valAx>
        <c:axId val="136152960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45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'Indices-Reg1'!$BJ$1:$BK$1</c:f>
          <c:strCache>
            <c:ptCount val="1"/>
            <c:pt idx="0">
              <c:v>ATL US_PLL ATL</c:v>
            </c:pt>
          </c:strCache>
        </c:strRef>
      </c:tx>
      <c:layout>
        <c:manualLayout>
          <c:xMode val="edge"/>
          <c:yMode val="edge"/>
          <c:x val="0.2960897893159028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8"/>
          <c:y val="0.23174675020693891"/>
          <c:w val="0.56424657963973524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'Indices-Reg1'!$BJ$12:$BJ$100</c:f>
              <c:numCache>
                <c:formatCode>General</c:formatCode>
                <c:ptCount val="89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'Indices-Reg1'!$BR$12:$BR$100</c:f>
              <c:numCache>
                <c:formatCode>General</c:formatCode>
                <c:ptCount val="89"/>
                <c:pt idx="0">
                  <c:v>6.8000000000000005E-2</c:v>
                </c:pt>
                <c:pt idx="1">
                  <c:v>5.0000000000000001E-3</c:v>
                </c:pt>
                <c:pt idx="2">
                  <c:v>2E-3</c:v>
                </c:pt>
                <c:pt idx="3">
                  <c:v>1E-3</c:v>
                </c:pt>
                <c:pt idx="4">
                  <c:v>5.5E-2</c:v>
                </c:pt>
                <c:pt idx="5">
                  <c:v>3.1E-2</c:v>
                </c:pt>
                <c:pt idx="6">
                  <c:v>0.33200000000000002</c:v>
                </c:pt>
                <c:pt idx="7">
                  <c:v>0.19900000000000001</c:v>
                </c:pt>
                <c:pt idx="8">
                  <c:v>0.16500000000000001</c:v>
                </c:pt>
                <c:pt idx="9">
                  <c:v>0.372</c:v>
                </c:pt>
                <c:pt idx="10">
                  <c:v>0.223</c:v>
                </c:pt>
                <c:pt idx="11">
                  <c:v>0.23899999999999999</c:v>
                </c:pt>
                <c:pt idx="12">
                  <c:v>0.14599999999999999</c:v>
                </c:pt>
                <c:pt idx="13">
                  <c:v>0.13400000000000001</c:v>
                </c:pt>
                <c:pt idx="14">
                  <c:v>0.25900000000000001</c:v>
                </c:pt>
                <c:pt idx="15">
                  <c:v>0.17199999999999999</c:v>
                </c:pt>
                <c:pt idx="16">
                  <c:v>0.14000000000000001</c:v>
                </c:pt>
                <c:pt idx="17">
                  <c:v>8.0000000000000002E-3</c:v>
                </c:pt>
                <c:pt idx="18">
                  <c:v>0.06</c:v>
                </c:pt>
                <c:pt idx="19">
                  <c:v>0</c:v>
                </c:pt>
              </c:numCache>
            </c:numRef>
          </c:yVal>
        </c:ser>
        <c:axId val="136578176"/>
        <c:axId val="137077504"/>
      </c:scatterChart>
      <c:valAx>
        <c:axId val="13657817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77504"/>
        <c:crosses val="autoZero"/>
        <c:crossBetween val="midCat"/>
        <c:majorUnit val="5"/>
        <c:minorUnit val="3.8539999999999988"/>
      </c:valAx>
      <c:valAx>
        <c:axId val="13707750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7817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'Indices-Reg1'!$BJ$1:$BK$1</c:f>
          <c:strCache>
            <c:ptCount val="1"/>
            <c:pt idx="0">
              <c:v>ATL US_PLL ATL</c:v>
            </c:pt>
          </c:strCache>
        </c:strRef>
      </c:tx>
      <c:layout>
        <c:manualLayout>
          <c:xMode val="edge"/>
          <c:yMode val="edge"/>
          <c:x val="0.3509749303621181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5759548926320506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'Indices-Reg1'!$BJ$12:$BJ$100</c:f>
              <c:numCache>
                <c:formatCode>General</c:formatCode>
                <c:ptCount val="89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'Indices-Reg1'!$BM$12:$BM$100</c:f>
              <c:numCache>
                <c:formatCode>General</c:formatCode>
                <c:ptCount val="89"/>
                <c:pt idx="0">
                  <c:v>0.437</c:v>
                </c:pt>
                <c:pt idx="1">
                  <c:v>0.30099999999999999</c:v>
                </c:pt>
                <c:pt idx="2">
                  <c:v>0.28000000000000003</c:v>
                </c:pt>
                <c:pt idx="3">
                  <c:v>0.223</c:v>
                </c:pt>
                <c:pt idx="4">
                  <c:v>4.1000000000000002E-2</c:v>
                </c:pt>
                <c:pt idx="5">
                  <c:v>9.6000000000000002E-2</c:v>
                </c:pt>
                <c:pt idx="6">
                  <c:v>-0.371</c:v>
                </c:pt>
                <c:pt idx="7">
                  <c:v>-0.19500000000000001</c:v>
                </c:pt>
                <c:pt idx="8">
                  <c:v>-0.14599999999999999</c:v>
                </c:pt>
                <c:pt idx="9">
                  <c:v>-0.42299999999999999</c:v>
                </c:pt>
                <c:pt idx="10">
                  <c:v>-0.22800000000000001</c:v>
                </c:pt>
                <c:pt idx="11">
                  <c:v>-0.248</c:v>
                </c:pt>
                <c:pt idx="12">
                  <c:v>-0.11700000000000001</c:v>
                </c:pt>
                <c:pt idx="13">
                  <c:v>-9.9000000000000005E-2</c:v>
                </c:pt>
                <c:pt idx="14">
                  <c:v>-0.27500000000000002</c:v>
                </c:pt>
                <c:pt idx="15">
                  <c:v>-0.156</c:v>
                </c:pt>
                <c:pt idx="16">
                  <c:v>-0.108</c:v>
                </c:pt>
                <c:pt idx="17">
                  <c:v>0.317</c:v>
                </c:pt>
                <c:pt idx="18">
                  <c:v>0.42699999999999999</c:v>
                </c:pt>
                <c:pt idx="19">
                  <c:v>0.245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37136768"/>
        <c:axId val="137172864"/>
      </c:scatterChart>
      <c:valAx>
        <c:axId val="13713676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172864"/>
        <c:crossesAt val="-4"/>
        <c:crossBetween val="midCat"/>
        <c:majorUnit val="5"/>
        <c:minorUnit val="3.8539999999999988"/>
      </c:valAx>
      <c:valAx>
        <c:axId val="13717286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136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'Indices-Reg1'!$BV$1:$BW$1</c:f>
          <c:strCache>
            <c:ptCount val="1"/>
            <c:pt idx="0">
              <c:v>ATL VEN_LL</c:v>
            </c:pt>
          </c:strCache>
        </c:strRef>
      </c:tx>
      <c:layout>
        <c:manualLayout>
          <c:xMode val="edge"/>
          <c:yMode val="edge"/>
          <c:x val="0.33426183844011143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'Indices-Reg1'!$CB$12:$CB$100</c:f>
              <c:numCache>
                <c:formatCode>General</c:formatCode>
                <c:ptCount val="89"/>
                <c:pt idx="0">
                  <c:v>1.0449999999999999</c:v>
                </c:pt>
                <c:pt idx="1">
                  <c:v>1.1379999999999999</c:v>
                </c:pt>
                <c:pt idx="2">
                  <c:v>1.6759999999999999</c:v>
                </c:pt>
                <c:pt idx="3">
                  <c:v>0.627</c:v>
                </c:pt>
                <c:pt idx="4">
                  <c:v>0.69399999999999995</c:v>
                </c:pt>
                <c:pt idx="5">
                  <c:v>0.90500000000000003</c:v>
                </c:pt>
                <c:pt idx="6">
                  <c:v>0.5</c:v>
                </c:pt>
                <c:pt idx="7">
                  <c:v>0.87</c:v>
                </c:pt>
                <c:pt idx="8">
                  <c:v>0.84899999999999998</c:v>
                </c:pt>
                <c:pt idx="9">
                  <c:v>0.629</c:v>
                </c:pt>
                <c:pt idx="10">
                  <c:v>2.0670000000000002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'Indices-Reg1'!$CC$12:$CC$100</c:f>
              <c:numCache>
                <c:formatCode>General</c:formatCode>
                <c:ptCount val="89"/>
                <c:pt idx="0">
                  <c:v>0.95799999999999996</c:v>
                </c:pt>
                <c:pt idx="1">
                  <c:v>0.94099999999999995</c:v>
                </c:pt>
                <c:pt idx="2">
                  <c:v>0.93899999999999995</c:v>
                </c:pt>
                <c:pt idx="3">
                  <c:v>0.90600000000000003</c:v>
                </c:pt>
                <c:pt idx="4">
                  <c:v>0.92100000000000004</c:v>
                </c:pt>
                <c:pt idx="5">
                  <c:v>0.97599999999999998</c:v>
                </c:pt>
                <c:pt idx="6">
                  <c:v>0.94299999999999995</c:v>
                </c:pt>
                <c:pt idx="7">
                  <c:v>0.86099999999999999</c:v>
                </c:pt>
                <c:pt idx="8">
                  <c:v>0.85</c:v>
                </c:pt>
                <c:pt idx="9">
                  <c:v>0.86599999999999999</c:v>
                </c:pt>
                <c:pt idx="10">
                  <c:v>0.91400000000000003</c:v>
                </c:pt>
              </c:numCache>
            </c:numRef>
          </c:yVal>
        </c:ser>
        <c:axId val="137302016"/>
        <c:axId val="137303936"/>
      </c:scatterChart>
      <c:valAx>
        <c:axId val="13730201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03936"/>
        <c:crosses val="autoZero"/>
        <c:crossBetween val="midCat"/>
        <c:majorUnit val="5"/>
        <c:minorUnit val="3.8539999999999988"/>
      </c:valAx>
      <c:valAx>
        <c:axId val="137303936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020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'Indices-Reg1'!$BV$1:$BW$1</c:f>
          <c:strCache>
            <c:ptCount val="1"/>
            <c:pt idx="0">
              <c:v>ATL VEN_LL</c:v>
            </c:pt>
          </c:strCache>
        </c:strRef>
      </c:tx>
      <c:layout>
        <c:manualLayout>
          <c:xMode val="edge"/>
          <c:yMode val="edge"/>
          <c:x val="0.27653669002145442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8"/>
          <c:y val="0.23174675020693891"/>
          <c:w val="0.56424657963973524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'Indices-Reg1'!$CD$12:$CD$100</c:f>
              <c:numCache>
                <c:formatCode>General</c:formatCode>
                <c:ptCount val="89"/>
                <c:pt idx="0">
                  <c:v>3.5000000000000003E-2</c:v>
                </c:pt>
                <c:pt idx="1">
                  <c:v>5.0000000000000001E-3</c:v>
                </c:pt>
                <c:pt idx="2">
                  <c:v>0.24199999999999999</c:v>
                </c:pt>
                <c:pt idx="3">
                  <c:v>0.33</c:v>
                </c:pt>
                <c:pt idx="4">
                  <c:v>0.26500000000000001</c:v>
                </c:pt>
                <c:pt idx="5">
                  <c:v>0.11899999999999999</c:v>
                </c:pt>
                <c:pt idx="6">
                  <c:v>0.53700000000000003</c:v>
                </c:pt>
                <c:pt idx="7">
                  <c:v>7.0000000000000007E-2</c:v>
                </c:pt>
                <c:pt idx="8">
                  <c:v>7.4999999999999997E-2</c:v>
                </c:pt>
                <c:pt idx="9">
                  <c:v>0.29299999999999998</c:v>
                </c:pt>
                <c:pt idx="10">
                  <c:v>0.91700000000000004</c:v>
                </c:pt>
              </c:numCache>
            </c:numRef>
          </c:yVal>
        </c:ser>
        <c:axId val="137349376"/>
        <c:axId val="137382144"/>
      </c:scatterChart>
      <c:valAx>
        <c:axId val="13734937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82144"/>
        <c:crosses val="autoZero"/>
        <c:crossBetween val="midCat"/>
        <c:majorUnit val="5"/>
        <c:minorUnit val="3.8539999999999988"/>
      </c:valAx>
      <c:valAx>
        <c:axId val="1373821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4937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'Indices-Reg1'!$BV$1:$BW$1</c:f>
          <c:strCache>
            <c:ptCount val="1"/>
            <c:pt idx="0">
              <c:v>ATL VEN_LL</c:v>
            </c:pt>
          </c:strCache>
        </c:strRef>
      </c:tx>
      <c:layout>
        <c:manualLayout>
          <c:xMode val="edge"/>
          <c:yMode val="edge"/>
          <c:x val="0.3314763231197799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'Indices-Reg1'!$BY$12:$BY$100</c:f>
              <c:numCache>
                <c:formatCode>General</c:formatCode>
                <c:ptCount val="89"/>
                <c:pt idx="0">
                  <c:v>8.5999999999999993E-2</c:v>
                </c:pt>
                <c:pt idx="1">
                  <c:v>0.19</c:v>
                </c:pt>
                <c:pt idx="2">
                  <c:v>0.57899999999999996</c:v>
                </c:pt>
                <c:pt idx="3">
                  <c:v>-0.36799999999999999</c:v>
                </c:pt>
                <c:pt idx="4">
                  <c:v>-0.28299999999999997</c:v>
                </c:pt>
                <c:pt idx="5">
                  <c:v>-7.5999999999999998E-2</c:v>
                </c:pt>
                <c:pt idx="6">
                  <c:v>-0.63500000000000001</c:v>
                </c:pt>
                <c:pt idx="7">
                  <c:v>0.01</c:v>
                </c:pt>
                <c:pt idx="8">
                  <c:v>0</c:v>
                </c:pt>
                <c:pt idx="9">
                  <c:v>-0.32100000000000001</c:v>
                </c:pt>
                <c:pt idx="10">
                  <c:v>0.81599999999999995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38481024"/>
        <c:axId val="158689152"/>
      </c:scatterChart>
      <c:valAx>
        <c:axId val="13848102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689152"/>
        <c:crossesAt val="-4"/>
        <c:crossBetween val="midCat"/>
        <c:majorUnit val="5"/>
        <c:minorUnit val="3.8539999999999988"/>
      </c:valAx>
      <c:valAx>
        <c:axId val="15868915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4810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'Indices-Reg1'!$CH$1:$CI$1</c:f>
          <c:strCache>
            <c:ptCount val="1"/>
            <c:pt idx="0">
              <c:v>ATL VEN_PS</c:v>
            </c:pt>
          </c:strCache>
        </c:strRef>
      </c:tx>
      <c:layout>
        <c:manualLayout>
          <c:xMode val="edge"/>
          <c:yMode val="edge"/>
          <c:x val="0.35376044568245246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'Indices-Reg1'!$CN$12:$CN$100</c:f>
              <c:numCache>
                <c:formatCode>General</c:formatCode>
                <c:ptCount val="89"/>
                <c:pt idx="0">
                  <c:v>13.589</c:v>
                </c:pt>
                <c:pt idx="1">
                  <c:v>6.0270000000000001</c:v>
                </c:pt>
                <c:pt idx="2">
                  <c:v>10.17</c:v>
                </c:pt>
                <c:pt idx="3">
                  <c:v>5.9770000000000003</c:v>
                </c:pt>
                <c:pt idx="4">
                  <c:v>4.5739999999999998</c:v>
                </c:pt>
                <c:pt idx="5">
                  <c:v>6.3040000000000003</c:v>
                </c:pt>
                <c:pt idx="6">
                  <c:v>13.656000000000001</c:v>
                </c:pt>
                <c:pt idx="7">
                  <c:v>7.0019999999999998</c:v>
                </c:pt>
                <c:pt idx="8">
                  <c:v>7.1509999999999998</c:v>
                </c:pt>
                <c:pt idx="9">
                  <c:v>4.8120000000000003</c:v>
                </c:pt>
                <c:pt idx="10">
                  <c:v>5.5110000000000001</c:v>
                </c:pt>
                <c:pt idx="11">
                  <c:v>6.72</c:v>
                </c:pt>
                <c:pt idx="12">
                  <c:v>3.0249999999999999</c:v>
                </c:pt>
                <c:pt idx="13">
                  <c:v>6.7770000000000001</c:v>
                </c:pt>
                <c:pt idx="14">
                  <c:v>4.569</c:v>
                </c:pt>
                <c:pt idx="15">
                  <c:v>3.7040000000000002</c:v>
                </c:pt>
                <c:pt idx="16">
                  <c:v>5.4340000000000002</c:v>
                </c:pt>
                <c:pt idx="17">
                  <c:v>6.6239999999999997</c:v>
                </c:pt>
                <c:pt idx="18">
                  <c:v>13.243</c:v>
                </c:pt>
                <c:pt idx="19">
                  <c:v>8.1809999999999992</c:v>
                </c:pt>
                <c:pt idx="20">
                  <c:v>3.9990000000000001</c:v>
                </c:pt>
                <c:pt idx="21">
                  <c:v>2.3929999999999998</c:v>
                </c:pt>
                <c:pt idx="22">
                  <c:v>1.226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'Indices-Reg1'!$CO$12:$CO$100</c:f>
              <c:numCache>
                <c:formatCode>General</c:formatCode>
                <c:ptCount val="89"/>
                <c:pt idx="0">
                  <c:v>4.9109999999999996</c:v>
                </c:pt>
                <c:pt idx="1">
                  <c:v>5.6970000000000001</c:v>
                </c:pt>
                <c:pt idx="2">
                  <c:v>6.1159999999999997</c:v>
                </c:pt>
                <c:pt idx="3">
                  <c:v>6.194</c:v>
                </c:pt>
                <c:pt idx="4">
                  <c:v>7.165</c:v>
                </c:pt>
                <c:pt idx="5">
                  <c:v>8.0109999999999992</c:v>
                </c:pt>
                <c:pt idx="6">
                  <c:v>7.8579999999999997</c:v>
                </c:pt>
                <c:pt idx="7">
                  <c:v>6.9640000000000004</c:v>
                </c:pt>
                <c:pt idx="8">
                  <c:v>6.89</c:v>
                </c:pt>
                <c:pt idx="9">
                  <c:v>6.5220000000000002</c:v>
                </c:pt>
                <c:pt idx="10">
                  <c:v>5.7679999999999998</c:v>
                </c:pt>
                <c:pt idx="11">
                  <c:v>6.4</c:v>
                </c:pt>
                <c:pt idx="12">
                  <c:v>6.7569999999999997</c:v>
                </c:pt>
                <c:pt idx="13">
                  <c:v>6.5490000000000004</c:v>
                </c:pt>
                <c:pt idx="14">
                  <c:v>5.8609999999999998</c:v>
                </c:pt>
                <c:pt idx="15">
                  <c:v>5.2409999999999997</c:v>
                </c:pt>
                <c:pt idx="16">
                  <c:v>5.0339999999999998</c:v>
                </c:pt>
                <c:pt idx="17">
                  <c:v>5.6120000000000001</c:v>
                </c:pt>
                <c:pt idx="18">
                  <c:v>5.31</c:v>
                </c:pt>
                <c:pt idx="19">
                  <c:v>4.7389999999999999</c:v>
                </c:pt>
                <c:pt idx="20">
                  <c:v>3.9409999999999998</c:v>
                </c:pt>
                <c:pt idx="21">
                  <c:v>3.6589999999999998</c:v>
                </c:pt>
                <c:pt idx="22">
                  <c:v>3.6080000000000001</c:v>
                </c:pt>
              </c:numCache>
            </c:numRef>
          </c:yVal>
        </c:ser>
        <c:axId val="159695232"/>
        <c:axId val="159698304"/>
      </c:scatterChart>
      <c:valAx>
        <c:axId val="15969523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698304"/>
        <c:crosses val="autoZero"/>
        <c:crossBetween val="midCat"/>
        <c:majorUnit val="5"/>
        <c:minorUnit val="3.8539999999999988"/>
      </c:valAx>
      <c:valAx>
        <c:axId val="159698304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695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'Indices-Reg1'!$CH$1:$CI$1</c:f>
          <c:strCache>
            <c:ptCount val="1"/>
            <c:pt idx="0">
              <c:v>ATL VEN_PS</c:v>
            </c:pt>
          </c:strCache>
        </c:strRef>
      </c:tx>
      <c:layout>
        <c:manualLayout>
          <c:xMode val="edge"/>
          <c:yMode val="edge"/>
          <c:x val="0.2960897893159028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402"/>
          <c:y val="0.23174675020693891"/>
          <c:w val="0.52793368095004856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'Indices-Reg1'!$CP$12:$CP$100</c:f>
              <c:numCache>
                <c:formatCode>General</c:formatCode>
                <c:ptCount val="89"/>
                <c:pt idx="0">
                  <c:v>2.1040000000000001</c:v>
                </c:pt>
                <c:pt idx="1">
                  <c:v>4.7E-2</c:v>
                </c:pt>
                <c:pt idx="2">
                  <c:v>0.13900000000000001</c:v>
                </c:pt>
                <c:pt idx="3">
                  <c:v>9.5000000000000001E-2</c:v>
                </c:pt>
                <c:pt idx="4">
                  <c:v>0.39300000000000002</c:v>
                </c:pt>
                <c:pt idx="5">
                  <c:v>0.23200000000000001</c:v>
                </c:pt>
                <c:pt idx="6">
                  <c:v>0.19900000000000001</c:v>
                </c:pt>
                <c:pt idx="7">
                  <c:v>7.1999999999999995E-2</c:v>
                </c:pt>
                <c:pt idx="8">
                  <c:v>5.6000000000000001E-2</c:v>
                </c:pt>
                <c:pt idx="9">
                  <c:v>0.28100000000000003</c:v>
                </c:pt>
                <c:pt idx="10">
                  <c:v>0.10100000000000001</c:v>
                </c:pt>
                <c:pt idx="11">
                  <c:v>5.0999999999999997E-2</c:v>
                </c:pt>
                <c:pt idx="12">
                  <c:v>0.66100000000000003</c:v>
                </c:pt>
                <c:pt idx="13">
                  <c:v>5.8000000000000003E-2</c:v>
                </c:pt>
                <c:pt idx="14">
                  <c:v>0.23899999999999999</c:v>
                </c:pt>
                <c:pt idx="15">
                  <c:v>0.314</c:v>
                </c:pt>
                <c:pt idx="16">
                  <c:v>3.9E-2</c:v>
                </c:pt>
                <c:pt idx="17">
                  <c:v>0.01</c:v>
                </c:pt>
                <c:pt idx="18">
                  <c:v>1.401</c:v>
                </c:pt>
                <c:pt idx="19">
                  <c:v>0.189</c:v>
                </c:pt>
                <c:pt idx="20">
                  <c:v>6.7000000000000004E-2</c:v>
                </c:pt>
                <c:pt idx="21">
                  <c:v>0.374</c:v>
                </c:pt>
                <c:pt idx="22">
                  <c:v>0.84299999999999997</c:v>
                </c:pt>
              </c:numCache>
            </c:numRef>
          </c:yVal>
        </c:ser>
        <c:axId val="159773056"/>
        <c:axId val="159776128"/>
      </c:scatterChart>
      <c:valAx>
        <c:axId val="15977305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776128"/>
        <c:crosses val="autoZero"/>
        <c:crossBetween val="midCat"/>
        <c:majorUnit val="5"/>
        <c:minorUnit val="3.8539999999999988"/>
      </c:valAx>
      <c:valAx>
        <c:axId val="15977612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77305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'Indices-Reg1'!$CH$1:$CI$1</c:f>
          <c:strCache>
            <c:ptCount val="1"/>
            <c:pt idx="0">
              <c:v>ATL VEN_PS</c:v>
            </c:pt>
          </c:strCache>
        </c:strRef>
      </c:tx>
      <c:layout>
        <c:manualLayout>
          <c:xMode val="edge"/>
          <c:yMode val="edge"/>
          <c:x val="0.3509749303621181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5759548926320506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'Indices-Reg1'!$CK$12:$CK$100</c:f>
              <c:numCache>
                <c:formatCode>General</c:formatCode>
                <c:ptCount val="89"/>
                <c:pt idx="0">
                  <c:v>1.018</c:v>
                </c:pt>
                <c:pt idx="1">
                  <c:v>5.6000000000000001E-2</c:v>
                </c:pt>
                <c:pt idx="2">
                  <c:v>0.50900000000000001</c:v>
                </c:pt>
                <c:pt idx="3">
                  <c:v>-3.5999999999999997E-2</c:v>
                </c:pt>
                <c:pt idx="4">
                  <c:v>-0.44900000000000001</c:v>
                </c:pt>
                <c:pt idx="5">
                  <c:v>-0.24</c:v>
                </c:pt>
                <c:pt idx="6">
                  <c:v>0.55300000000000005</c:v>
                </c:pt>
                <c:pt idx="7">
                  <c:v>5.0000000000000001E-3</c:v>
                </c:pt>
                <c:pt idx="8">
                  <c:v>3.6999999999999998E-2</c:v>
                </c:pt>
                <c:pt idx="9">
                  <c:v>-0.30399999999999999</c:v>
                </c:pt>
                <c:pt idx="10">
                  <c:v>-4.5999999999999999E-2</c:v>
                </c:pt>
                <c:pt idx="11">
                  <c:v>4.9000000000000002E-2</c:v>
                </c:pt>
                <c:pt idx="12">
                  <c:v>-0.80400000000000005</c:v>
                </c:pt>
                <c:pt idx="13">
                  <c:v>3.4000000000000002E-2</c:v>
                </c:pt>
                <c:pt idx="14">
                  <c:v>-0.249</c:v>
                </c:pt>
                <c:pt idx="15">
                  <c:v>-0.34699999999999998</c:v>
                </c:pt>
                <c:pt idx="16">
                  <c:v>7.5999999999999998E-2</c:v>
                </c:pt>
                <c:pt idx="17">
                  <c:v>0.16600000000000001</c:v>
                </c:pt>
                <c:pt idx="18">
                  <c:v>0.91400000000000003</c:v>
                </c:pt>
                <c:pt idx="19">
                  <c:v>0.54600000000000004</c:v>
                </c:pt>
                <c:pt idx="20">
                  <c:v>1.4E-2</c:v>
                </c:pt>
                <c:pt idx="21">
                  <c:v>-0.42499999999999999</c:v>
                </c:pt>
                <c:pt idx="22">
                  <c:v>-1.08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60275456"/>
        <c:axId val="160314880"/>
      </c:scatterChart>
      <c:valAx>
        <c:axId val="16027545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314880"/>
        <c:crossesAt val="-4"/>
        <c:crossBetween val="midCat"/>
        <c:majorUnit val="5"/>
        <c:minorUnit val="3.8539999999999988"/>
      </c:valAx>
      <c:valAx>
        <c:axId val="16031488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275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'Indices-Reg1'!$CT$1:$CU$1</c:f>
          <c:strCache>
            <c:ptCount val="1"/>
            <c:pt idx="0">
              <c:v>ATL EUR-FAD-PS</c:v>
            </c:pt>
          </c:strCache>
        </c:strRef>
      </c:tx>
      <c:layout>
        <c:manualLayout>
          <c:xMode val="edge"/>
          <c:yMode val="edge"/>
          <c:x val="0.35376044568245246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'Indices-Reg1'!$CT$12:$CT$100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</c:numCache>
            </c:numRef>
          </c:xVal>
          <c:yVal>
            <c:numRef>
              <c:f>'Indices-Reg1'!$CZ$12:$CZ$100</c:f>
              <c:numCache>
                <c:formatCode>General</c:formatCode>
                <c:ptCount val="89"/>
                <c:pt idx="0">
                  <c:v>1.96</c:v>
                </c:pt>
                <c:pt idx="1">
                  <c:v>1.27</c:v>
                </c:pt>
                <c:pt idx="2">
                  <c:v>1.98</c:v>
                </c:pt>
                <c:pt idx="3">
                  <c:v>1.86</c:v>
                </c:pt>
                <c:pt idx="4">
                  <c:v>2.1800000000000002</c:v>
                </c:pt>
                <c:pt idx="5">
                  <c:v>1.91</c:v>
                </c:pt>
                <c:pt idx="6">
                  <c:v>1.63</c:v>
                </c:pt>
                <c:pt idx="7">
                  <c:v>1.21</c:v>
                </c:pt>
                <c:pt idx="8">
                  <c:v>1.92</c:v>
                </c:pt>
                <c:pt idx="9">
                  <c:v>2.0099999999999998</c:v>
                </c:pt>
                <c:pt idx="10">
                  <c:v>1.83</c:v>
                </c:pt>
                <c:pt idx="11">
                  <c:v>2.02</c:v>
                </c:pt>
                <c:pt idx="12">
                  <c:v>2.1800000000000002</c:v>
                </c:pt>
                <c:pt idx="13">
                  <c:v>2.2599999999999998</c:v>
                </c:pt>
                <c:pt idx="14">
                  <c:v>2.29</c:v>
                </c:pt>
                <c:pt idx="15">
                  <c:v>1.64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'Indices-Reg1'!$CT$12:$CT$100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</c:numCache>
            </c:numRef>
          </c:xVal>
          <c:yVal>
            <c:numRef>
              <c:f>'Indices-Reg1'!$DA$12:$DA$100</c:f>
              <c:numCache>
                <c:formatCode>General</c:formatCode>
                <c:ptCount val="89"/>
                <c:pt idx="0">
                  <c:v>2.1</c:v>
                </c:pt>
                <c:pt idx="1">
                  <c:v>1.9</c:v>
                </c:pt>
                <c:pt idx="2">
                  <c:v>2.0870000000000002</c:v>
                </c:pt>
                <c:pt idx="3">
                  <c:v>2.1059999999999999</c:v>
                </c:pt>
                <c:pt idx="4">
                  <c:v>1.89</c:v>
                </c:pt>
                <c:pt idx="5">
                  <c:v>1.843</c:v>
                </c:pt>
                <c:pt idx="6">
                  <c:v>2.0099999999999998</c:v>
                </c:pt>
                <c:pt idx="7">
                  <c:v>2.4660000000000002</c:v>
                </c:pt>
                <c:pt idx="8">
                  <c:v>1.9419999999999999</c:v>
                </c:pt>
                <c:pt idx="9">
                  <c:v>1.9139999999999999</c:v>
                </c:pt>
                <c:pt idx="10">
                  <c:v>1.589</c:v>
                </c:pt>
                <c:pt idx="11">
                  <c:v>1.706</c:v>
                </c:pt>
                <c:pt idx="12">
                  <c:v>1.4319999999999999</c:v>
                </c:pt>
                <c:pt idx="13">
                  <c:v>1.532</c:v>
                </c:pt>
                <c:pt idx="14">
                  <c:v>1.6240000000000001</c:v>
                </c:pt>
                <c:pt idx="15">
                  <c:v>1.83</c:v>
                </c:pt>
              </c:numCache>
            </c:numRef>
          </c:yVal>
        </c:ser>
        <c:axId val="166271232"/>
        <c:axId val="166311808"/>
      </c:scatterChart>
      <c:valAx>
        <c:axId val="16627123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311808"/>
        <c:crosses val="autoZero"/>
        <c:crossBetween val="midCat"/>
        <c:majorUnit val="5"/>
        <c:minorUnit val="3.8539999999999988"/>
      </c:valAx>
      <c:valAx>
        <c:axId val="16631180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271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'Indices-Reg1'!$CT$1:$CU$1</c:f>
          <c:strCache>
            <c:ptCount val="1"/>
            <c:pt idx="0">
              <c:v>ATL EUR-FAD-PS</c:v>
            </c:pt>
          </c:strCache>
        </c:strRef>
      </c:tx>
      <c:layout>
        <c:manualLayout>
          <c:xMode val="edge"/>
          <c:yMode val="edge"/>
          <c:x val="0.2960897893159028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402"/>
          <c:y val="0.23174675020693891"/>
          <c:w val="0.52793368095004856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'Indices-Reg1'!$CT$12:$CT$100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</c:numCache>
            </c:numRef>
          </c:xVal>
          <c:yVal>
            <c:numRef>
              <c:f>'Indices-Reg1'!$DB$12:$DB$100</c:f>
              <c:numCache>
                <c:formatCode>General</c:formatCode>
                <c:ptCount val="89"/>
                <c:pt idx="0">
                  <c:v>0.115</c:v>
                </c:pt>
                <c:pt idx="1">
                  <c:v>0.35699999999999998</c:v>
                </c:pt>
                <c:pt idx="2">
                  <c:v>0.105</c:v>
                </c:pt>
                <c:pt idx="3">
                  <c:v>0.151</c:v>
                </c:pt>
                <c:pt idx="4">
                  <c:v>1.4999999999999999E-2</c:v>
                </c:pt>
                <c:pt idx="5">
                  <c:v>5.7000000000000002E-2</c:v>
                </c:pt>
                <c:pt idx="6">
                  <c:v>0.21</c:v>
                </c:pt>
                <c:pt idx="7">
                  <c:v>0.59399999999999997</c:v>
                </c:pt>
                <c:pt idx="8">
                  <c:v>8.1000000000000003E-2</c:v>
                </c:pt>
                <c:pt idx="9">
                  <c:v>5.0999999999999997E-2</c:v>
                </c:pt>
                <c:pt idx="10">
                  <c:v>1.6E-2</c:v>
                </c:pt>
                <c:pt idx="11">
                  <c:v>8.9999999999999993E-3</c:v>
                </c:pt>
                <c:pt idx="12">
                  <c:v>5.6000000000000001E-2</c:v>
                </c:pt>
                <c:pt idx="13">
                  <c:v>3.5999999999999997E-2</c:v>
                </c:pt>
                <c:pt idx="14">
                  <c:v>1.6E-2</c:v>
                </c:pt>
                <c:pt idx="15">
                  <c:v>0.14099999999999999</c:v>
                </c:pt>
              </c:numCache>
            </c:numRef>
          </c:yVal>
        </c:ser>
        <c:axId val="169311616"/>
        <c:axId val="171352832"/>
      </c:scatterChart>
      <c:valAx>
        <c:axId val="16931161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352832"/>
        <c:crosses val="autoZero"/>
        <c:crossBetween val="midCat"/>
        <c:majorUnit val="5"/>
        <c:minorUnit val="3.8539999999999988"/>
      </c:valAx>
      <c:valAx>
        <c:axId val="1713528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31161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'Indices-Reg1'!$CT$1:$CU$1</c:f>
          <c:strCache>
            <c:ptCount val="1"/>
            <c:pt idx="0">
              <c:v>ATL EUR-FAD-PS</c:v>
            </c:pt>
          </c:strCache>
        </c:strRef>
      </c:tx>
      <c:layout>
        <c:manualLayout>
          <c:xMode val="edge"/>
          <c:yMode val="edge"/>
          <c:x val="0.3509749303621181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5759548926320506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'Indices-Reg1'!$CT$12:$CT$100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</c:numCache>
            </c:numRef>
          </c:xVal>
          <c:yVal>
            <c:numRef>
              <c:f>'Indices-Reg1'!$CW$12:$CW$100</c:f>
              <c:numCache>
                <c:formatCode>General</c:formatCode>
                <c:ptCount val="89"/>
                <c:pt idx="0">
                  <c:v>-6.9000000000000006E-2</c:v>
                </c:pt>
                <c:pt idx="1">
                  <c:v>-0.40300000000000002</c:v>
                </c:pt>
                <c:pt idx="2">
                  <c:v>-5.2999999999999999E-2</c:v>
                </c:pt>
                <c:pt idx="3">
                  <c:v>-0.124</c:v>
                </c:pt>
                <c:pt idx="4">
                  <c:v>0.14299999999999999</c:v>
                </c:pt>
                <c:pt idx="5">
                  <c:v>3.5999999999999997E-2</c:v>
                </c:pt>
                <c:pt idx="6">
                  <c:v>-0.20899999999999999</c:v>
                </c:pt>
                <c:pt idx="7">
                  <c:v>-0.71199999999999997</c:v>
                </c:pt>
                <c:pt idx="8">
                  <c:v>-1.0999999999999999E-2</c:v>
                </c:pt>
                <c:pt idx="9">
                  <c:v>4.9000000000000002E-2</c:v>
                </c:pt>
                <c:pt idx="10">
                  <c:v>0.14099999999999999</c:v>
                </c:pt>
                <c:pt idx="11">
                  <c:v>0.16900000000000001</c:v>
                </c:pt>
                <c:pt idx="12">
                  <c:v>0.42</c:v>
                </c:pt>
                <c:pt idx="13">
                  <c:v>0.38900000000000001</c:v>
                </c:pt>
                <c:pt idx="14">
                  <c:v>0.34399999999999997</c:v>
                </c:pt>
                <c:pt idx="15">
                  <c:v>-0.109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75679360"/>
        <c:axId val="175855104"/>
      </c:scatterChart>
      <c:valAx>
        <c:axId val="17567936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55104"/>
        <c:crossesAt val="-4"/>
        <c:crossBetween val="midCat"/>
        <c:majorUnit val="5"/>
        <c:minorUnit val="3.8539999999999988"/>
      </c:valAx>
      <c:valAx>
        <c:axId val="17585510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679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'Indices-Reg1'!$DF$1:$DG$1</c:f>
          <c:strCache>
            <c:ptCount val="1"/>
            <c:pt idx="0">
              <c:v>ATL EUR-PS 3%</c:v>
            </c:pt>
          </c:strCache>
        </c:strRef>
      </c:tx>
      <c:layout>
        <c:manualLayout>
          <c:xMode val="edge"/>
          <c:yMode val="edge"/>
          <c:x val="0.2625701905254213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078258770320757"/>
          <c:y val="0.23174675020693891"/>
          <c:w val="0.53910688054687572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'Indices-Reg1'!$DF$12:$DF$100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</c:numCache>
            </c:numRef>
          </c:xVal>
          <c:yVal>
            <c:numRef>
              <c:f>'Indices-Reg1'!$DN$12:$DN$100</c:f>
              <c:numCache>
                <c:formatCode>General</c:formatCode>
                <c:ptCount val="89"/>
                <c:pt idx="0">
                  <c:v>3.0000000000000001E-3</c:v>
                </c:pt>
                <c:pt idx="1">
                  <c:v>8.5999999999999993E-2</c:v>
                </c:pt>
                <c:pt idx="2">
                  <c:v>7.6999999999999999E-2</c:v>
                </c:pt>
                <c:pt idx="3">
                  <c:v>9.6000000000000002E-2</c:v>
                </c:pt>
                <c:pt idx="4">
                  <c:v>0.156</c:v>
                </c:pt>
                <c:pt idx="5">
                  <c:v>6.8000000000000005E-2</c:v>
                </c:pt>
                <c:pt idx="6">
                  <c:v>1.4E-2</c:v>
                </c:pt>
                <c:pt idx="7">
                  <c:v>2.5000000000000001E-2</c:v>
                </c:pt>
                <c:pt idx="8">
                  <c:v>0.13200000000000001</c:v>
                </c:pt>
                <c:pt idx="9">
                  <c:v>0.19800000000000001</c:v>
                </c:pt>
              </c:numCache>
            </c:numRef>
          </c:yVal>
        </c:ser>
        <c:axId val="178542848"/>
        <c:axId val="178651520"/>
      </c:scatterChart>
      <c:valAx>
        <c:axId val="17854284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910688054687572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651520"/>
        <c:crosses val="autoZero"/>
        <c:crossBetween val="midCat"/>
        <c:majorUnit val="5"/>
        <c:minorUnit val="3.8539999999999988"/>
      </c:valAx>
      <c:valAx>
        <c:axId val="1786515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542848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'Indices-Reg1'!$DF$1:$DG$1</c:f>
          <c:strCache>
            <c:ptCount val="1"/>
            <c:pt idx="0">
              <c:v>ATL EUR-PS 3%</c:v>
            </c:pt>
          </c:strCache>
        </c:strRef>
      </c:tx>
      <c:layout>
        <c:manualLayout>
          <c:xMode val="edge"/>
          <c:yMode val="edge"/>
          <c:x val="0.3175487465181058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'Indices-Reg1'!$DF$12:$DF$100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</c:numCache>
            </c:numRef>
          </c:xVal>
          <c:yVal>
            <c:numRef>
              <c:f>'Indices-Reg1'!$DI$12:$DI$100</c:f>
              <c:numCache>
                <c:formatCode>General</c:formatCode>
                <c:ptCount val="89"/>
                <c:pt idx="0">
                  <c:v>0.20699999999999999</c:v>
                </c:pt>
                <c:pt idx="1">
                  <c:v>-0.02</c:v>
                </c:pt>
                <c:pt idx="2">
                  <c:v>-4.0000000000000001E-3</c:v>
                </c:pt>
                <c:pt idx="3">
                  <c:v>-3.7999999999999999E-2</c:v>
                </c:pt>
                <c:pt idx="4">
                  <c:v>-0.13200000000000001</c:v>
                </c:pt>
                <c:pt idx="5">
                  <c:v>1.4E-2</c:v>
                </c:pt>
                <c:pt idx="6">
                  <c:v>0.14899999999999999</c:v>
                </c:pt>
                <c:pt idx="7">
                  <c:v>0.112</c:v>
                </c:pt>
                <c:pt idx="8">
                  <c:v>-9.6000000000000002E-2</c:v>
                </c:pt>
                <c:pt idx="9">
                  <c:v>-0.192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82435200"/>
        <c:axId val="189389440"/>
      </c:scatterChart>
      <c:valAx>
        <c:axId val="18243520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389440"/>
        <c:crossesAt val="-4"/>
        <c:crossBetween val="midCat"/>
        <c:majorUnit val="5"/>
        <c:minorUnit val="3.8539999999999988"/>
      </c:valAx>
      <c:valAx>
        <c:axId val="18938944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4352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'Indices-Reg1'!$DR$1:$DS$1</c:f>
          <c:strCache>
            <c:ptCount val="1"/>
            <c:pt idx="0">
              <c:v>ATL EU-DAKAR</c:v>
            </c:pt>
          </c:strCache>
        </c:strRef>
      </c:tx>
      <c:layout>
        <c:manualLayout>
          <c:xMode val="edge"/>
          <c:yMode val="edge"/>
          <c:x val="0.2821232898198697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5977689062621478"/>
          <c:y val="0.20886108222452629"/>
          <c:w val="0.66480537601117806"/>
          <c:h val="0.4018993551896197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'Indices-Reg1'!$DR$12:$DR$100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1981</c:v>
                </c:pt>
                <c:pt idx="11">
                  <c:v>1982</c:v>
                </c:pt>
                <c:pt idx="12">
                  <c:v>1983</c:v>
                </c:pt>
                <c:pt idx="13">
                  <c:v>1984</c:v>
                </c:pt>
                <c:pt idx="14">
                  <c:v>1985</c:v>
                </c:pt>
                <c:pt idx="15">
                  <c:v>1986</c:v>
                </c:pt>
                <c:pt idx="16">
                  <c:v>1987</c:v>
                </c:pt>
                <c:pt idx="17">
                  <c:v>1988</c:v>
                </c:pt>
                <c:pt idx="18">
                  <c:v>1989</c:v>
                </c:pt>
                <c:pt idx="19">
                  <c:v>1990</c:v>
                </c:pt>
                <c:pt idx="20">
                  <c:v>1991</c:v>
                </c:pt>
                <c:pt idx="21">
                  <c:v>1992</c:v>
                </c:pt>
                <c:pt idx="22">
                  <c:v>1993</c:v>
                </c:pt>
                <c:pt idx="23">
                  <c:v>1994</c:v>
                </c:pt>
                <c:pt idx="24">
                  <c:v>1995</c:v>
                </c:pt>
                <c:pt idx="25">
                  <c:v>1996</c:v>
                </c:pt>
                <c:pt idx="26">
                  <c:v>1997</c:v>
                </c:pt>
                <c:pt idx="27">
                  <c:v>1998</c:v>
                </c:pt>
                <c:pt idx="28">
                  <c:v>1999</c:v>
                </c:pt>
                <c:pt idx="29">
                  <c:v>2000</c:v>
                </c:pt>
                <c:pt idx="30">
                  <c:v>2001</c:v>
                </c:pt>
                <c:pt idx="31">
                  <c:v>2002</c:v>
                </c:pt>
                <c:pt idx="32">
                  <c:v>2003</c:v>
                </c:pt>
                <c:pt idx="33">
                  <c:v>2004</c:v>
                </c:pt>
                <c:pt idx="34">
                  <c:v>2005</c:v>
                </c:pt>
                <c:pt idx="35">
                  <c:v>2006</c:v>
                </c:pt>
              </c:numCache>
            </c:numRef>
          </c:xVal>
          <c:yVal>
            <c:numRef>
              <c:f>'Indices-Reg1'!$DX$12:$DX$100</c:f>
              <c:numCache>
                <c:formatCode>General</c:formatCode>
                <c:ptCount val="89"/>
                <c:pt idx="0">
                  <c:v>0.64400000000000002</c:v>
                </c:pt>
                <c:pt idx="1">
                  <c:v>0.63600000000000001</c:v>
                </c:pt>
                <c:pt idx="2">
                  <c:v>0.64</c:v>
                </c:pt>
                <c:pt idx="3">
                  <c:v>0.58899999999999997</c:v>
                </c:pt>
                <c:pt idx="4">
                  <c:v>0.92500000000000004</c:v>
                </c:pt>
                <c:pt idx="5">
                  <c:v>0.40500000000000003</c:v>
                </c:pt>
                <c:pt idx="6">
                  <c:v>0.44800000000000001</c:v>
                </c:pt>
                <c:pt idx="7">
                  <c:v>0.68400000000000005</c:v>
                </c:pt>
                <c:pt idx="8">
                  <c:v>0.26400000000000001</c:v>
                </c:pt>
                <c:pt idx="9">
                  <c:v>0.498</c:v>
                </c:pt>
                <c:pt idx="10">
                  <c:v>1.024</c:v>
                </c:pt>
                <c:pt idx="11">
                  <c:v>0.97599999999999998</c:v>
                </c:pt>
                <c:pt idx="12">
                  <c:v>0.99399999999999999</c:v>
                </c:pt>
                <c:pt idx="13">
                  <c:v>1.42</c:v>
                </c:pt>
                <c:pt idx="14">
                  <c:v>1.091</c:v>
                </c:pt>
                <c:pt idx="15">
                  <c:v>1.647</c:v>
                </c:pt>
                <c:pt idx="16">
                  <c:v>1.8580000000000001</c:v>
                </c:pt>
                <c:pt idx="17">
                  <c:v>1.798</c:v>
                </c:pt>
                <c:pt idx="18">
                  <c:v>0.433</c:v>
                </c:pt>
                <c:pt idx="19">
                  <c:v>1.6579999999999999</c:v>
                </c:pt>
                <c:pt idx="20">
                  <c:v>1.2</c:v>
                </c:pt>
                <c:pt idx="21">
                  <c:v>2.34</c:v>
                </c:pt>
                <c:pt idx="22">
                  <c:v>1.899</c:v>
                </c:pt>
                <c:pt idx="23">
                  <c:v>1.4139999999999999</c:v>
                </c:pt>
                <c:pt idx="24">
                  <c:v>0.84499999999999997</c:v>
                </c:pt>
                <c:pt idx="25">
                  <c:v>1.381</c:v>
                </c:pt>
                <c:pt idx="26">
                  <c:v>0.58599999999999997</c:v>
                </c:pt>
                <c:pt idx="27">
                  <c:v>0.223</c:v>
                </c:pt>
                <c:pt idx="28">
                  <c:v>0.63900000000000001</c:v>
                </c:pt>
                <c:pt idx="29">
                  <c:v>0.30099999999999999</c:v>
                </c:pt>
                <c:pt idx="30">
                  <c:v>0.48199999999999998</c:v>
                </c:pt>
                <c:pt idx="31">
                  <c:v>0.73099999999999998</c:v>
                </c:pt>
                <c:pt idx="32">
                  <c:v>0.83499999999999996</c:v>
                </c:pt>
                <c:pt idx="33">
                  <c:v>0.63600000000000001</c:v>
                </c:pt>
                <c:pt idx="34">
                  <c:v>0.51900000000000002</c:v>
                </c:pt>
                <c:pt idx="35">
                  <c:v>0.58799999999999997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'Indices-Reg1'!$DR$12:$DR$100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1981</c:v>
                </c:pt>
                <c:pt idx="11">
                  <c:v>1982</c:v>
                </c:pt>
                <c:pt idx="12">
                  <c:v>1983</c:v>
                </c:pt>
                <c:pt idx="13">
                  <c:v>1984</c:v>
                </c:pt>
                <c:pt idx="14">
                  <c:v>1985</c:v>
                </c:pt>
                <c:pt idx="15">
                  <c:v>1986</c:v>
                </c:pt>
                <c:pt idx="16">
                  <c:v>1987</c:v>
                </c:pt>
                <c:pt idx="17">
                  <c:v>1988</c:v>
                </c:pt>
                <c:pt idx="18">
                  <c:v>1989</c:v>
                </c:pt>
                <c:pt idx="19">
                  <c:v>1990</c:v>
                </c:pt>
                <c:pt idx="20">
                  <c:v>1991</c:v>
                </c:pt>
                <c:pt idx="21">
                  <c:v>1992</c:v>
                </c:pt>
                <c:pt idx="22">
                  <c:v>1993</c:v>
                </c:pt>
                <c:pt idx="23">
                  <c:v>1994</c:v>
                </c:pt>
                <c:pt idx="24">
                  <c:v>1995</c:v>
                </c:pt>
                <c:pt idx="25">
                  <c:v>1996</c:v>
                </c:pt>
                <c:pt idx="26">
                  <c:v>1997</c:v>
                </c:pt>
                <c:pt idx="27">
                  <c:v>1998</c:v>
                </c:pt>
                <c:pt idx="28">
                  <c:v>1999</c:v>
                </c:pt>
                <c:pt idx="29">
                  <c:v>2000</c:v>
                </c:pt>
                <c:pt idx="30">
                  <c:v>2001</c:v>
                </c:pt>
                <c:pt idx="31">
                  <c:v>2002</c:v>
                </c:pt>
                <c:pt idx="32">
                  <c:v>2003</c:v>
                </c:pt>
                <c:pt idx="33">
                  <c:v>2004</c:v>
                </c:pt>
                <c:pt idx="34">
                  <c:v>2005</c:v>
                </c:pt>
                <c:pt idx="35">
                  <c:v>2006</c:v>
                </c:pt>
              </c:numCache>
            </c:numRef>
          </c:xVal>
          <c:yVal>
            <c:numRef>
              <c:f>'Indices-Reg1'!$DY$12:$DY$100</c:f>
              <c:numCache>
                <c:formatCode>General</c:formatCode>
                <c:ptCount val="89"/>
                <c:pt idx="0">
                  <c:v>0.60799999999999998</c:v>
                </c:pt>
                <c:pt idx="1">
                  <c:v>0.68700000000000006</c:v>
                </c:pt>
                <c:pt idx="2">
                  <c:v>0.75700000000000001</c:v>
                </c:pt>
                <c:pt idx="3">
                  <c:v>0.76300000000000001</c:v>
                </c:pt>
                <c:pt idx="4">
                  <c:v>0.74</c:v>
                </c:pt>
                <c:pt idx="5">
                  <c:v>0.73</c:v>
                </c:pt>
                <c:pt idx="6">
                  <c:v>0.75900000000000001</c:v>
                </c:pt>
                <c:pt idx="7">
                  <c:v>0.89100000000000001</c:v>
                </c:pt>
                <c:pt idx="8">
                  <c:v>0.92100000000000004</c:v>
                </c:pt>
                <c:pt idx="9">
                  <c:v>0.878</c:v>
                </c:pt>
                <c:pt idx="10">
                  <c:v>0.74</c:v>
                </c:pt>
                <c:pt idx="11">
                  <c:v>0.73199999999999998</c:v>
                </c:pt>
                <c:pt idx="12">
                  <c:v>0.82499999999999996</c:v>
                </c:pt>
                <c:pt idx="13">
                  <c:v>0.9</c:v>
                </c:pt>
                <c:pt idx="14">
                  <c:v>0.91900000000000004</c:v>
                </c:pt>
                <c:pt idx="15">
                  <c:v>0.94</c:v>
                </c:pt>
                <c:pt idx="16">
                  <c:v>1.0900000000000001</c:v>
                </c:pt>
                <c:pt idx="17">
                  <c:v>1.044</c:v>
                </c:pt>
                <c:pt idx="18">
                  <c:v>0.97</c:v>
                </c:pt>
                <c:pt idx="19">
                  <c:v>0.91100000000000003</c:v>
                </c:pt>
                <c:pt idx="20">
                  <c:v>0.99299999999999999</c:v>
                </c:pt>
                <c:pt idx="21">
                  <c:v>0.89600000000000002</c:v>
                </c:pt>
                <c:pt idx="22">
                  <c:v>0.77600000000000002</c:v>
                </c:pt>
                <c:pt idx="23">
                  <c:v>0.93300000000000005</c:v>
                </c:pt>
                <c:pt idx="24">
                  <c:v>0.93899999999999995</c:v>
                </c:pt>
                <c:pt idx="25">
                  <c:v>0.84</c:v>
                </c:pt>
                <c:pt idx="26">
                  <c:v>0.78500000000000003</c:v>
                </c:pt>
                <c:pt idx="27">
                  <c:v>0.755</c:v>
                </c:pt>
                <c:pt idx="28">
                  <c:v>0.73299999999999998</c:v>
                </c:pt>
                <c:pt idx="29">
                  <c:v>0.82199999999999995</c:v>
                </c:pt>
                <c:pt idx="30">
                  <c:v>0.64900000000000002</c:v>
                </c:pt>
                <c:pt idx="31">
                  <c:v>0.61499999999999999</c:v>
                </c:pt>
                <c:pt idx="32">
                  <c:v>0.54900000000000004</c:v>
                </c:pt>
                <c:pt idx="33">
                  <c:v>0.501</c:v>
                </c:pt>
                <c:pt idx="34">
                  <c:v>0.55100000000000005</c:v>
                </c:pt>
                <c:pt idx="35">
                  <c:v>0.65100000000000002</c:v>
                </c:pt>
              </c:numCache>
            </c:numRef>
          </c:yVal>
        </c:ser>
        <c:axId val="64914176"/>
        <c:axId val="64916096"/>
      </c:scatterChart>
      <c:valAx>
        <c:axId val="6491417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234708115163397"/>
              <c:y val="0.787975901119803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16096"/>
        <c:crosses val="autoZero"/>
        <c:crossBetween val="midCat"/>
        <c:majorUnit val="5"/>
        <c:minorUnit val="3.8539999999999988"/>
      </c:valAx>
      <c:valAx>
        <c:axId val="64916096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7.2625797379371859E-2"/>
              <c:y val="0.32594987074433751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14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6312898689686146"/>
          <c:y val="0.89240644223206556"/>
          <c:w val="0.42458158467940638"/>
          <c:h val="8.5443170000942509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'Indices-Reg1'!$DR$1:$DS$1</c:f>
          <c:strCache>
            <c:ptCount val="1"/>
            <c:pt idx="0">
              <c:v>ATL EU-DAKAR</c:v>
            </c:pt>
          </c:strCache>
        </c:strRef>
      </c:tx>
      <c:layout>
        <c:manualLayout>
          <c:xMode val="edge"/>
          <c:yMode val="edge"/>
          <c:x val="0.25139699092859491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402"/>
          <c:y val="0.23174675020693891"/>
          <c:w val="0.52793368095004856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'Indices-Reg1'!$DR$12:$DR$100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1981</c:v>
                </c:pt>
                <c:pt idx="11">
                  <c:v>1982</c:v>
                </c:pt>
                <c:pt idx="12">
                  <c:v>1983</c:v>
                </c:pt>
                <c:pt idx="13">
                  <c:v>1984</c:v>
                </c:pt>
                <c:pt idx="14">
                  <c:v>1985</c:v>
                </c:pt>
                <c:pt idx="15">
                  <c:v>1986</c:v>
                </c:pt>
                <c:pt idx="16">
                  <c:v>1987</c:v>
                </c:pt>
                <c:pt idx="17">
                  <c:v>1988</c:v>
                </c:pt>
                <c:pt idx="18">
                  <c:v>1989</c:v>
                </c:pt>
                <c:pt idx="19">
                  <c:v>1990</c:v>
                </c:pt>
                <c:pt idx="20">
                  <c:v>1991</c:v>
                </c:pt>
                <c:pt idx="21">
                  <c:v>1992</c:v>
                </c:pt>
                <c:pt idx="22">
                  <c:v>1993</c:v>
                </c:pt>
                <c:pt idx="23">
                  <c:v>1994</c:v>
                </c:pt>
                <c:pt idx="24">
                  <c:v>1995</c:v>
                </c:pt>
                <c:pt idx="25">
                  <c:v>1996</c:v>
                </c:pt>
                <c:pt idx="26">
                  <c:v>1997</c:v>
                </c:pt>
                <c:pt idx="27">
                  <c:v>1998</c:v>
                </c:pt>
                <c:pt idx="28">
                  <c:v>1999</c:v>
                </c:pt>
                <c:pt idx="29">
                  <c:v>2000</c:v>
                </c:pt>
                <c:pt idx="30">
                  <c:v>2001</c:v>
                </c:pt>
                <c:pt idx="31">
                  <c:v>2002</c:v>
                </c:pt>
                <c:pt idx="32">
                  <c:v>2003</c:v>
                </c:pt>
                <c:pt idx="33">
                  <c:v>2004</c:v>
                </c:pt>
                <c:pt idx="34">
                  <c:v>2005</c:v>
                </c:pt>
                <c:pt idx="35">
                  <c:v>2006</c:v>
                </c:pt>
              </c:numCache>
            </c:numRef>
          </c:xVal>
          <c:yVal>
            <c:numRef>
              <c:f>'Indices-Reg1'!$DZ$12:$DZ$100</c:f>
              <c:numCache>
                <c:formatCode>General</c:formatCode>
                <c:ptCount val="89"/>
                <c:pt idx="0">
                  <c:v>4.7E-2</c:v>
                </c:pt>
                <c:pt idx="1">
                  <c:v>0.12</c:v>
                </c:pt>
                <c:pt idx="2">
                  <c:v>0.18</c:v>
                </c:pt>
                <c:pt idx="3">
                  <c:v>0.246</c:v>
                </c:pt>
                <c:pt idx="4">
                  <c:v>1E-3</c:v>
                </c:pt>
                <c:pt idx="5">
                  <c:v>0.502</c:v>
                </c:pt>
                <c:pt idx="6">
                  <c:v>0.45400000000000001</c:v>
                </c:pt>
                <c:pt idx="7">
                  <c:v>0.251</c:v>
                </c:pt>
                <c:pt idx="8">
                  <c:v>0.94099999999999995</c:v>
                </c:pt>
                <c:pt idx="9">
                  <c:v>0.48499999999999999</c:v>
                </c:pt>
                <c:pt idx="10">
                  <c:v>0.01</c:v>
                </c:pt>
                <c:pt idx="11">
                  <c:v>3.0000000000000001E-3</c:v>
                </c:pt>
                <c:pt idx="12">
                  <c:v>6.0000000000000001E-3</c:v>
                </c:pt>
                <c:pt idx="13">
                  <c:v>8.4000000000000005E-2</c:v>
                </c:pt>
                <c:pt idx="14">
                  <c:v>8.0000000000000002E-3</c:v>
                </c:pt>
                <c:pt idx="15">
                  <c:v>0.21199999999999999</c:v>
                </c:pt>
                <c:pt idx="16">
                  <c:v>0.17100000000000001</c:v>
                </c:pt>
                <c:pt idx="17">
                  <c:v>0.186</c:v>
                </c:pt>
                <c:pt idx="18">
                  <c:v>0.66300000000000003</c:v>
                </c:pt>
                <c:pt idx="19">
                  <c:v>0.27700000000000002</c:v>
                </c:pt>
                <c:pt idx="20">
                  <c:v>5.0000000000000001E-3</c:v>
                </c:pt>
                <c:pt idx="21">
                  <c:v>1.6879999999999999</c:v>
                </c:pt>
                <c:pt idx="22">
                  <c:v>1.294</c:v>
                </c:pt>
                <c:pt idx="23">
                  <c:v>5.1999999999999998E-2</c:v>
                </c:pt>
                <c:pt idx="24">
                  <c:v>0.13800000000000001</c:v>
                </c:pt>
                <c:pt idx="25">
                  <c:v>0.126</c:v>
                </c:pt>
                <c:pt idx="26">
                  <c:v>0.27200000000000002</c:v>
                </c:pt>
                <c:pt idx="27">
                  <c:v>0.92400000000000004</c:v>
                </c:pt>
                <c:pt idx="28">
                  <c:v>0.16</c:v>
                </c:pt>
                <c:pt idx="29">
                  <c:v>0.79700000000000004</c:v>
                </c:pt>
                <c:pt idx="30">
                  <c:v>0.27600000000000002</c:v>
                </c:pt>
                <c:pt idx="31">
                  <c:v>8.0000000000000002E-3</c:v>
                </c:pt>
                <c:pt idx="32">
                  <c:v>5.5E-2</c:v>
                </c:pt>
                <c:pt idx="33">
                  <c:v>0</c:v>
                </c:pt>
                <c:pt idx="34">
                  <c:v>0.11</c:v>
                </c:pt>
                <c:pt idx="35">
                  <c:v>0.13600000000000001</c:v>
                </c:pt>
              </c:numCache>
            </c:numRef>
          </c:yVal>
        </c:ser>
        <c:axId val="64944384"/>
        <c:axId val="64964096"/>
      </c:scatterChart>
      <c:valAx>
        <c:axId val="6494438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64096"/>
        <c:crosses val="autoZero"/>
        <c:crossBetween val="midCat"/>
        <c:majorUnit val="5"/>
        <c:minorUnit val="3.8539999999999988"/>
      </c:valAx>
      <c:valAx>
        <c:axId val="6496409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4438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'Indices-Reg1'!$DR$1:$DS$1</c:f>
          <c:strCache>
            <c:ptCount val="1"/>
            <c:pt idx="0">
              <c:v>ATL EU-DAKAR</c:v>
            </c:pt>
          </c:strCache>
        </c:strRef>
      </c:tx>
      <c:layout>
        <c:manualLayout>
          <c:xMode val="edge"/>
          <c:yMode val="edge"/>
          <c:x val="0.30640668523677089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'Indices-Reg1'!$DR$12:$DR$100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1981</c:v>
                </c:pt>
                <c:pt idx="11">
                  <c:v>1982</c:v>
                </c:pt>
                <c:pt idx="12">
                  <c:v>1983</c:v>
                </c:pt>
                <c:pt idx="13">
                  <c:v>1984</c:v>
                </c:pt>
                <c:pt idx="14">
                  <c:v>1985</c:v>
                </c:pt>
                <c:pt idx="15">
                  <c:v>1986</c:v>
                </c:pt>
                <c:pt idx="16">
                  <c:v>1987</c:v>
                </c:pt>
                <c:pt idx="17">
                  <c:v>1988</c:v>
                </c:pt>
                <c:pt idx="18">
                  <c:v>1989</c:v>
                </c:pt>
                <c:pt idx="19">
                  <c:v>1990</c:v>
                </c:pt>
                <c:pt idx="20">
                  <c:v>1991</c:v>
                </c:pt>
                <c:pt idx="21">
                  <c:v>1992</c:v>
                </c:pt>
                <c:pt idx="22">
                  <c:v>1993</c:v>
                </c:pt>
                <c:pt idx="23">
                  <c:v>1994</c:v>
                </c:pt>
                <c:pt idx="24">
                  <c:v>1995</c:v>
                </c:pt>
                <c:pt idx="25">
                  <c:v>1996</c:v>
                </c:pt>
                <c:pt idx="26">
                  <c:v>1997</c:v>
                </c:pt>
                <c:pt idx="27">
                  <c:v>1998</c:v>
                </c:pt>
                <c:pt idx="28">
                  <c:v>1999</c:v>
                </c:pt>
                <c:pt idx="29">
                  <c:v>2000</c:v>
                </c:pt>
                <c:pt idx="30">
                  <c:v>2001</c:v>
                </c:pt>
                <c:pt idx="31">
                  <c:v>2002</c:v>
                </c:pt>
                <c:pt idx="32">
                  <c:v>2003</c:v>
                </c:pt>
                <c:pt idx="33">
                  <c:v>2004</c:v>
                </c:pt>
                <c:pt idx="34">
                  <c:v>2005</c:v>
                </c:pt>
                <c:pt idx="35">
                  <c:v>2006</c:v>
                </c:pt>
              </c:numCache>
            </c:numRef>
          </c:xVal>
          <c:yVal>
            <c:numRef>
              <c:f>'Indices-Reg1'!$DU$12:$DU$100</c:f>
              <c:numCache>
                <c:formatCode>General</c:formatCode>
                <c:ptCount val="89"/>
                <c:pt idx="0">
                  <c:v>5.7000000000000002E-2</c:v>
                </c:pt>
                <c:pt idx="1">
                  <c:v>-7.6999999999999999E-2</c:v>
                </c:pt>
                <c:pt idx="2">
                  <c:v>-0.16800000000000001</c:v>
                </c:pt>
                <c:pt idx="3">
                  <c:v>-0.25900000000000001</c:v>
                </c:pt>
                <c:pt idx="4">
                  <c:v>0.223</c:v>
                </c:pt>
                <c:pt idx="5">
                  <c:v>-0.58899999999999997</c:v>
                </c:pt>
                <c:pt idx="6">
                  <c:v>-0.52700000000000002</c:v>
                </c:pt>
                <c:pt idx="7">
                  <c:v>-0.26500000000000001</c:v>
                </c:pt>
                <c:pt idx="8">
                  <c:v>-1.2490000000000001</c:v>
                </c:pt>
                <c:pt idx="9">
                  <c:v>-0.56699999999999995</c:v>
                </c:pt>
                <c:pt idx="10">
                  <c:v>0.32400000000000001</c:v>
                </c:pt>
                <c:pt idx="11">
                  <c:v>0.28799999999999998</c:v>
                </c:pt>
                <c:pt idx="12">
                  <c:v>0.186</c:v>
                </c:pt>
                <c:pt idx="13">
                  <c:v>0.45600000000000002</c:v>
                </c:pt>
                <c:pt idx="14">
                  <c:v>0.17100000000000001</c:v>
                </c:pt>
                <c:pt idx="15">
                  <c:v>0.56100000000000005</c:v>
                </c:pt>
                <c:pt idx="16">
                  <c:v>0.53300000000000003</c:v>
                </c:pt>
                <c:pt idx="17">
                  <c:v>0.54400000000000004</c:v>
                </c:pt>
                <c:pt idx="18">
                  <c:v>-0.80700000000000005</c:v>
                </c:pt>
                <c:pt idx="19">
                  <c:v>0.59899999999999998</c:v>
                </c:pt>
                <c:pt idx="20">
                  <c:v>0.19</c:v>
                </c:pt>
                <c:pt idx="21">
                  <c:v>0.96</c:v>
                </c:pt>
                <c:pt idx="22">
                  <c:v>0.89500000000000002</c:v>
                </c:pt>
                <c:pt idx="23">
                  <c:v>0.41599999999999998</c:v>
                </c:pt>
                <c:pt idx="24">
                  <c:v>-0.106</c:v>
                </c:pt>
                <c:pt idx="25">
                  <c:v>0.497</c:v>
                </c:pt>
                <c:pt idx="26">
                  <c:v>-0.29299999999999998</c:v>
                </c:pt>
                <c:pt idx="27">
                  <c:v>-1.2190000000000001</c:v>
                </c:pt>
                <c:pt idx="28">
                  <c:v>-0.13800000000000001</c:v>
                </c:pt>
                <c:pt idx="29">
                  <c:v>-1.0049999999999999</c:v>
                </c:pt>
                <c:pt idx="30">
                  <c:v>-0.29799999999999999</c:v>
                </c:pt>
                <c:pt idx="31">
                  <c:v>0.17299999999999999</c:v>
                </c:pt>
                <c:pt idx="32">
                  <c:v>0.41899999999999998</c:v>
                </c:pt>
                <c:pt idx="33">
                  <c:v>0.24</c:v>
                </c:pt>
                <c:pt idx="34">
                  <c:v>-6.0999999999999999E-2</c:v>
                </c:pt>
                <c:pt idx="35">
                  <c:v>-0.10199999999999999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4978304"/>
        <c:axId val="64980480"/>
      </c:scatterChart>
      <c:valAx>
        <c:axId val="649783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80480"/>
        <c:crossesAt val="-4"/>
        <c:crossBetween val="midCat"/>
        <c:majorUnit val="5"/>
        <c:minorUnit val="3.8539999999999988"/>
      </c:valAx>
      <c:valAx>
        <c:axId val="6498048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78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'Indices-Reg1'!$ED$1:$EE$1</c:f>
          <c:strCache>
            <c:ptCount val="1"/>
            <c:pt idx="0">
              <c:v>ATL URU-LL</c:v>
            </c:pt>
          </c:strCache>
        </c:strRef>
      </c:tx>
      <c:layout>
        <c:manualLayout>
          <c:xMode val="edge"/>
          <c:yMode val="edge"/>
          <c:x val="0.3268160882071755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5977689062621478"/>
          <c:y val="0.20886108222452629"/>
          <c:w val="0.66480537601117806"/>
          <c:h val="0.4018993551896197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'Indices-Reg1'!$ED$12:$ED$100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</c:numCache>
            </c:numRef>
          </c:xVal>
          <c:yVal>
            <c:numRef>
              <c:f>'Indices-Reg1'!$EJ$12:$EJ$100</c:f>
              <c:numCache>
                <c:formatCode>General</c:formatCode>
                <c:ptCount val="89"/>
                <c:pt idx="0">
                  <c:v>6.5540000000000003</c:v>
                </c:pt>
                <c:pt idx="1">
                  <c:v>8.8960000000000008</c:v>
                </c:pt>
                <c:pt idx="2">
                  <c:v>3.33</c:v>
                </c:pt>
                <c:pt idx="3">
                  <c:v>1.4850000000000001</c:v>
                </c:pt>
                <c:pt idx="4">
                  <c:v>3.5459999999999998</c:v>
                </c:pt>
                <c:pt idx="5">
                  <c:v>4.1239999999999997</c:v>
                </c:pt>
                <c:pt idx="6">
                  <c:v>3.976</c:v>
                </c:pt>
                <c:pt idx="7">
                  <c:v>7.6130000000000004</c:v>
                </c:pt>
                <c:pt idx="8">
                  <c:v>2.085</c:v>
                </c:pt>
                <c:pt idx="9">
                  <c:v>1.9039999999999999</c:v>
                </c:pt>
                <c:pt idx="10">
                  <c:v>6.8540000000000001</c:v>
                </c:pt>
                <c:pt idx="11">
                  <c:v>6.5449999999999999</c:v>
                </c:pt>
                <c:pt idx="12">
                  <c:v>1.252</c:v>
                </c:pt>
                <c:pt idx="13">
                  <c:v>4.8449999999999998</c:v>
                </c:pt>
                <c:pt idx="14">
                  <c:v>3.7109999999999999</c:v>
                </c:pt>
                <c:pt idx="15">
                  <c:v>7.1589999999999998</c:v>
                </c:pt>
                <c:pt idx="16">
                  <c:v>2.3959999999999999</c:v>
                </c:pt>
                <c:pt idx="17">
                  <c:v>2.7149999999999999</c:v>
                </c:pt>
                <c:pt idx="18">
                  <c:v>3.2549999999999999</c:v>
                </c:pt>
                <c:pt idx="19">
                  <c:v>4.2679999999999998</c:v>
                </c:pt>
                <c:pt idx="20">
                  <c:v>2.6379999999999999</c:v>
                </c:pt>
                <c:pt idx="21">
                  <c:v>1.796</c:v>
                </c:pt>
                <c:pt idx="22">
                  <c:v>2.5579999999999998</c:v>
                </c:pt>
                <c:pt idx="23">
                  <c:v>2.5470000000000002</c:v>
                </c:pt>
                <c:pt idx="24">
                  <c:v>5.9370000000000003</c:v>
                </c:pt>
                <c:pt idx="25">
                  <c:v>2.3330000000000002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'Indices-Reg1'!$ED$12:$ED$100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</c:numCache>
            </c:numRef>
          </c:xVal>
          <c:yVal>
            <c:numRef>
              <c:f>'Indices-Reg1'!$EK$12:$EK$100</c:f>
              <c:numCache>
                <c:formatCode>General</c:formatCode>
                <c:ptCount val="89"/>
                <c:pt idx="0">
                  <c:v>3.573</c:v>
                </c:pt>
                <c:pt idx="1">
                  <c:v>3.0609999999999999</c:v>
                </c:pt>
                <c:pt idx="2">
                  <c:v>2.867</c:v>
                </c:pt>
                <c:pt idx="3">
                  <c:v>3.3660000000000001</c:v>
                </c:pt>
                <c:pt idx="4">
                  <c:v>3.5760000000000001</c:v>
                </c:pt>
                <c:pt idx="5">
                  <c:v>3.6469999999999998</c:v>
                </c:pt>
                <c:pt idx="6">
                  <c:v>4.3949999999999996</c:v>
                </c:pt>
                <c:pt idx="7">
                  <c:v>4.8840000000000003</c:v>
                </c:pt>
                <c:pt idx="8">
                  <c:v>4.6219999999999999</c:v>
                </c:pt>
                <c:pt idx="9">
                  <c:v>4.0650000000000004</c:v>
                </c:pt>
                <c:pt idx="10">
                  <c:v>3.9740000000000002</c:v>
                </c:pt>
                <c:pt idx="11">
                  <c:v>3.9980000000000002</c:v>
                </c:pt>
                <c:pt idx="12">
                  <c:v>3.8929999999999998</c:v>
                </c:pt>
                <c:pt idx="13">
                  <c:v>3.8919999999999999</c:v>
                </c:pt>
                <c:pt idx="14">
                  <c:v>4.0069999999999997</c:v>
                </c:pt>
                <c:pt idx="15">
                  <c:v>3.8610000000000002</c:v>
                </c:pt>
                <c:pt idx="16">
                  <c:v>3.5489999999999999</c:v>
                </c:pt>
                <c:pt idx="17">
                  <c:v>3.3050000000000002</c:v>
                </c:pt>
                <c:pt idx="18">
                  <c:v>3.4910000000000001</c:v>
                </c:pt>
                <c:pt idx="19">
                  <c:v>3.74</c:v>
                </c:pt>
                <c:pt idx="20">
                  <c:v>3.61</c:v>
                </c:pt>
                <c:pt idx="21">
                  <c:v>2.9369999999999998</c:v>
                </c:pt>
                <c:pt idx="22">
                  <c:v>2.6589999999999998</c:v>
                </c:pt>
                <c:pt idx="23">
                  <c:v>2.3719999999999999</c:v>
                </c:pt>
                <c:pt idx="24">
                  <c:v>2.484</c:v>
                </c:pt>
                <c:pt idx="25">
                  <c:v>2.6909999999999998</c:v>
                </c:pt>
              </c:numCache>
            </c:numRef>
          </c:yVal>
        </c:ser>
        <c:axId val="65011072"/>
        <c:axId val="65074688"/>
      </c:scatterChart>
      <c:valAx>
        <c:axId val="6501107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234708115163397"/>
              <c:y val="0.787975901119803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074688"/>
        <c:crosses val="autoZero"/>
        <c:crossBetween val="midCat"/>
        <c:majorUnit val="5"/>
        <c:minorUnit val="3.8539999999999988"/>
      </c:valAx>
      <c:valAx>
        <c:axId val="6507468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8.0151061501241239E-2"/>
              <c:y val="0.31303266166571903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011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6312898689686146"/>
          <c:y val="0.89240644223206556"/>
          <c:w val="0.42458158467940638"/>
          <c:h val="8.5443170000942509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'Indices-Reg1'!$ED$1:$EE$1</c:f>
          <c:strCache>
            <c:ptCount val="1"/>
            <c:pt idx="0">
              <c:v>ATL URU-LL</c:v>
            </c:pt>
          </c:strCache>
        </c:strRef>
      </c:tx>
      <c:layout>
        <c:manualLayout>
          <c:xMode val="edge"/>
          <c:yMode val="edge"/>
          <c:x val="0.2960897893159028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8"/>
          <c:y val="0.23174675020693891"/>
          <c:w val="0.56424657963973524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'Indices-Reg1'!$ED$12:$ED$100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</c:numCache>
            </c:numRef>
          </c:xVal>
          <c:yVal>
            <c:numRef>
              <c:f>'Indices-Reg1'!$EL$12:$EL$100</c:f>
              <c:numCache>
                <c:formatCode>General</c:formatCode>
                <c:ptCount val="89"/>
                <c:pt idx="0">
                  <c:v>0.29199999999999998</c:v>
                </c:pt>
                <c:pt idx="1">
                  <c:v>2.5169999999999999</c:v>
                </c:pt>
                <c:pt idx="2">
                  <c:v>1.4E-2</c:v>
                </c:pt>
                <c:pt idx="3">
                  <c:v>0.67100000000000004</c:v>
                </c:pt>
                <c:pt idx="4">
                  <c:v>0.08</c:v>
                </c:pt>
                <c:pt idx="5">
                  <c:v>2.1000000000000001E-2</c:v>
                </c:pt>
                <c:pt idx="6">
                  <c:v>0.13500000000000001</c:v>
                </c:pt>
                <c:pt idx="7">
                  <c:v>7.3999999999999996E-2</c:v>
                </c:pt>
                <c:pt idx="8">
                  <c:v>0.65600000000000003</c:v>
                </c:pt>
                <c:pt idx="9">
                  <c:v>0.628</c:v>
                </c:pt>
                <c:pt idx="10">
                  <c:v>0.188</c:v>
                </c:pt>
                <c:pt idx="11">
                  <c:v>0.121</c:v>
                </c:pt>
                <c:pt idx="12">
                  <c:v>0.876</c:v>
                </c:pt>
                <c:pt idx="13">
                  <c:v>1E-3</c:v>
                </c:pt>
                <c:pt idx="14">
                  <c:v>0.12</c:v>
                </c:pt>
                <c:pt idx="15">
                  <c:v>0.313</c:v>
                </c:pt>
                <c:pt idx="16">
                  <c:v>0.34899999999999998</c:v>
                </c:pt>
                <c:pt idx="17">
                  <c:v>0.20100000000000001</c:v>
                </c:pt>
                <c:pt idx="18">
                  <c:v>0.115</c:v>
                </c:pt>
                <c:pt idx="19">
                  <c:v>1.9E-2</c:v>
                </c:pt>
                <c:pt idx="20">
                  <c:v>0.28799999999999998</c:v>
                </c:pt>
                <c:pt idx="21">
                  <c:v>0.42599999999999999</c:v>
                </c:pt>
                <c:pt idx="22">
                  <c:v>9.7000000000000003E-2</c:v>
                </c:pt>
                <c:pt idx="23">
                  <c:v>4.1000000000000002E-2</c:v>
                </c:pt>
                <c:pt idx="24">
                  <c:v>1.1719999999999999</c:v>
                </c:pt>
                <c:pt idx="25">
                  <c:v>0.16300000000000001</c:v>
                </c:pt>
              </c:numCache>
            </c:numRef>
          </c:yVal>
        </c:ser>
        <c:axId val="65217664"/>
        <c:axId val="65220992"/>
      </c:scatterChart>
      <c:valAx>
        <c:axId val="652176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20992"/>
        <c:crosses val="autoZero"/>
        <c:crossBetween val="midCat"/>
        <c:majorUnit val="5"/>
        <c:minorUnit val="3.8539999999999988"/>
      </c:valAx>
      <c:valAx>
        <c:axId val="652209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1766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'Indices-Reg1'!$ED$1:$EE$1</c:f>
          <c:strCache>
            <c:ptCount val="1"/>
            <c:pt idx="0">
              <c:v>ATL URU-LL</c:v>
            </c:pt>
          </c:strCache>
        </c:strRef>
      </c:tx>
      <c:layout>
        <c:manualLayout>
          <c:xMode val="edge"/>
          <c:yMode val="edge"/>
          <c:x val="0.3509749303621181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5759548926320506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'Indices-Reg1'!$ED$12:$ED$100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</c:numCache>
            </c:numRef>
          </c:xVal>
          <c:yVal>
            <c:numRef>
              <c:f>'Indices-Reg1'!$EG$12:$EG$100</c:f>
              <c:numCache>
                <c:formatCode>General</c:formatCode>
                <c:ptCount val="89"/>
                <c:pt idx="0">
                  <c:v>0.60699999999999998</c:v>
                </c:pt>
                <c:pt idx="1">
                  <c:v>1.0669999999999999</c:v>
                </c:pt>
                <c:pt idx="2">
                  <c:v>0.15</c:v>
                </c:pt>
                <c:pt idx="3">
                  <c:v>-0.81799999999999995</c:v>
                </c:pt>
                <c:pt idx="4">
                  <c:v>-8.9999999999999993E-3</c:v>
                </c:pt>
                <c:pt idx="5">
                  <c:v>0.123</c:v>
                </c:pt>
                <c:pt idx="6">
                  <c:v>-0.1</c:v>
                </c:pt>
                <c:pt idx="7">
                  <c:v>0.44400000000000001</c:v>
                </c:pt>
                <c:pt idx="8">
                  <c:v>-0.79600000000000004</c:v>
                </c:pt>
                <c:pt idx="9">
                  <c:v>-0.75900000000000001</c:v>
                </c:pt>
                <c:pt idx="10">
                  <c:v>0.54500000000000004</c:v>
                </c:pt>
                <c:pt idx="11">
                  <c:v>0.49299999999999999</c:v>
                </c:pt>
                <c:pt idx="12">
                  <c:v>-1.1339999999999999</c:v>
                </c:pt>
                <c:pt idx="13">
                  <c:v>0.219</c:v>
                </c:pt>
                <c:pt idx="14">
                  <c:v>-7.6999999999999999E-2</c:v>
                </c:pt>
                <c:pt idx="15">
                  <c:v>0.61699999999999999</c:v>
                </c:pt>
                <c:pt idx="16">
                  <c:v>-0.39300000000000002</c:v>
                </c:pt>
                <c:pt idx="17">
                  <c:v>-0.19700000000000001</c:v>
                </c:pt>
                <c:pt idx="18">
                  <c:v>-7.0000000000000007E-2</c:v>
                </c:pt>
                <c:pt idx="19">
                  <c:v>0.13200000000000001</c:v>
                </c:pt>
                <c:pt idx="20">
                  <c:v>-0.314</c:v>
                </c:pt>
                <c:pt idx="21">
                  <c:v>-0.49199999999999999</c:v>
                </c:pt>
                <c:pt idx="22">
                  <c:v>-3.9E-2</c:v>
                </c:pt>
                <c:pt idx="23">
                  <c:v>7.0999999999999994E-2</c:v>
                </c:pt>
                <c:pt idx="24">
                  <c:v>0.871</c:v>
                </c:pt>
                <c:pt idx="25">
                  <c:v>-0.14299999999999999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5243008"/>
        <c:axId val="65253376"/>
      </c:scatterChart>
      <c:valAx>
        <c:axId val="6524300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53376"/>
        <c:crossesAt val="-4"/>
        <c:crossBetween val="midCat"/>
        <c:majorUnit val="5"/>
        <c:minorUnit val="3.8539999999999988"/>
      </c:valAx>
      <c:valAx>
        <c:axId val="65253376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430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'Indices-Reg1'!$EP$1:$EQ$1</c:f>
          <c:strCache>
            <c:ptCount val="1"/>
            <c:pt idx="0">
              <c:v>ATL BRA-URU-LL</c:v>
            </c:pt>
          </c:strCache>
        </c:strRef>
      </c:tx>
      <c:layout>
        <c:manualLayout>
          <c:xMode val="edge"/>
          <c:yMode val="edge"/>
          <c:x val="0.35376044568245246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'Indices-Reg1'!$EV$12:$EV$100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'Indices-Reg1'!$EW$12:$EW$100</c:f>
              <c:numCache>
                <c:formatCode>General</c:formatCode>
                <c:ptCount val="89"/>
              </c:numCache>
            </c:numRef>
          </c:yVal>
        </c:ser>
        <c:axId val="65283968"/>
        <c:axId val="65302528"/>
      </c:scatterChart>
      <c:valAx>
        <c:axId val="6528396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02528"/>
        <c:crosses val="autoZero"/>
        <c:crossBetween val="midCat"/>
        <c:majorUnit val="5"/>
        <c:minorUnit val="3.8539999999999988"/>
      </c:valAx>
      <c:valAx>
        <c:axId val="6530252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839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'Indices-Reg1'!$EP$1:$EQ$1</c:f>
          <c:strCache>
            <c:ptCount val="1"/>
            <c:pt idx="0">
              <c:v>ATL BRA-URU-LL</c:v>
            </c:pt>
          </c:strCache>
        </c:strRef>
      </c:tx>
      <c:layout>
        <c:manualLayout>
          <c:xMode val="edge"/>
          <c:yMode val="edge"/>
          <c:x val="0.2960897893159028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402"/>
          <c:y val="0.23174675020693891"/>
          <c:w val="0.52793368095004856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'Indices-Reg1'!$EX$12:$EX$100</c:f>
              <c:numCache>
                <c:formatCode>General</c:formatCode>
                <c:ptCount val="89"/>
              </c:numCache>
            </c:numRef>
          </c:yVal>
        </c:ser>
        <c:axId val="65322368"/>
        <c:axId val="65325696"/>
      </c:scatterChart>
      <c:valAx>
        <c:axId val="6532236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25696"/>
        <c:crosses val="autoZero"/>
        <c:crossBetween val="midCat"/>
        <c:majorUnit val="5"/>
        <c:minorUnit val="3.8539999999999988"/>
      </c:valAx>
      <c:valAx>
        <c:axId val="6532569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22368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'Indices-Reg1'!$EP$1:$EQ$1</c:f>
          <c:strCache>
            <c:ptCount val="1"/>
            <c:pt idx="0">
              <c:v>ATL BRA-URU-LL</c:v>
            </c:pt>
          </c:strCache>
        </c:strRef>
      </c:tx>
      <c:layout>
        <c:manualLayout>
          <c:xMode val="edge"/>
          <c:yMode val="edge"/>
          <c:x val="0.3509749303621181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'Indices-Reg1'!$ES$12:$ES$100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5377408"/>
        <c:axId val="65379328"/>
      </c:scatterChart>
      <c:valAx>
        <c:axId val="6537740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79328"/>
        <c:crossesAt val="-4"/>
        <c:crossBetween val="midCat"/>
        <c:majorUnit val="5"/>
        <c:minorUnit val="3.8539999999999988"/>
      </c:valAx>
      <c:valAx>
        <c:axId val="65379328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774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'Indices-Reg1'!$FB$1:$FC$1</c:f>
          <c:strCache>
            <c:ptCount val="1"/>
            <c:pt idx="0">
              <c:v>ATL CHIN-TAI-LL</c:v>
            </c:pt>
          </c:strCache>
        </c:strRef>
      </c:tx>
      <c:layout>
        <c:manualLayout>
          <c:xMode val="edge"/>
          <c:yMode val="edge"/>
          <c:x val="0.32869080779944559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'Indices-Reg1'!$FB$12:$FB$100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'Indices-Reg1'!$FH$12:$FH$100</c:f>
              <c:numCache>
                <c:formatCode>General</c:formatCode>
                <c:ptCount val="89"/>
                <c:pt idx="0">
                  <c:v>1.712</c:v>
                </c:pt>
                <c:pt idx="1">
                  <c:v>1.0169999999999999</c:v>
                </c:pt>
                <c:pt idx="2">
                  <c:v>1.0980000000000001</c:v>
                </c:pt>
                <c:pt idx="3">
                  <c:v>1.2230000000000001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0.76</c:v>
                </c:pt>
                <c:pt idx="7">
                  <c:v>0.68500000000000005</c:v>
                </c:pt>
                <c:pt idx="8">
                  <c:v>0.624</c:v>
                </c:pt>
                <c:pt idx="9">
                  <c:v>0.64800000000000002</c:v>
                </c:pt>
                <c:pt idx="10">
                  <c:v>0.79600000000000004</c:v>
                </c:pt>
                <c:pt idx="11">
                  <c:v>0.69299999999999995</c:v>
                </c:pt>
                <c:pt idx="12">
                  <c:v>0.53400000000000003</c:v>
                </c:pt>
                <c:pt idx="13">
                  <c:v>0.52900000000000003</c:v>
                </c:pt>
                <c:pt idx="14">
                  <c:v>0.76600000000000001</c:v>
                </c:pt>
                <c:pt idx="15">
                  <c:v>0.69299999999999995</c:v>
                </c:pt>
                <c:pt idx="16">
                  <c:v>0.86</c:v>
                </c:pt>
                <c:pt idx="17">
                  <c:v>0.78400000000000003</c:v>
                </c:pt>
                <c:pt idx="18">
                  <c:v>1.1140000000000001</c:v>
                </c:pt>
                <c:pt idx="19">
                  <c:v>0.77600000000000002</c:v>
                </c:pt>
                <c:pt idx="20">
                  <c:v>0.77600000000000002</c:v>
                </c:pt>
                <c:pt idx="21">
                  <c:v>0.88400000000000001</c:v>
                </c:pt>
                <c:pt idx="22">
                  <c:v>0.64900000000000002</c:v>
                </c:pt>
                <c:pt idx="23">
                  <c:v>0.86799999999999999</c:v>
                </c:pt>
                <c:pt idx="24">
                  <c:v>1.1890000000000001</c:v>
                </c:pt>
                <c:pt idx="25">
                  <c:v>1.17</c:v>
                </c:pt>
                <c:pt idx="26">
                  <c:v>1.0169999999999999</c:v>
                </c:pt>
                <c:pt idx="27">
                  <c:v>0.77800000000000002</c:v>
                </c:pt>
                <c:pt idx="28">
                  <c:v>0.78300000000000003</c:v>
                </c:pt>
                <c:pt idx="29">
                  <c:v>0.57799999999999996</c:v>
                </c:pt>
                <c:pt idx="30">
                  <c:v>0.77300000000000002</c:v>
                </c:pt>
                <c:pt idx="31">
                  <c:v>0.6</c:v>
                </c:pt>
                <c:pt idx="32">
                  <c:v>0.71499999999999997</c:v>
                </c:pt>
                <c:pt idx="33">
                  <c:v>0.71899999999999997</c:v>
                </c:pt>
                <c:pt idx="34">
                  <c:v>0.71699999999999997</c:v>
                </c:pt>
                <c:pt idx="35">
                  <c:v>0.88200000000000001</c:v>
                </c:pt>
                <c:pt idx="36">
                  <c:v>0.64700000000000002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'Indices-Reg1'!$FB$12:$FB$100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'Indices-Reg1'!$FI$12:$FI$100</c:f>
              <c:numCache>
                <c:formatCode>General</c:formatCode>
                <c:ptCount val="89"/>
                <c:pt idx="0">
                  <c:v>0.68600000000000005</c:v>
                </c:pt>
                <c:pt idx="1">
                  <c:v>0.73199999999999998</c:v>
                </c:pt>
                <c:pt idx="2">
                  <c:v>0.79800000000000004</c:v>
                </c:pt>
                <c:pt idx="3">
                  <c:v>0.82699999999999996</c:v>
                </c:pt>
                <c:pt idx="4">
                  <c:v>0.82899999999999996</c:v>
                </c:pt>
                <c:pt idx="5">
                  <c:v>0.74099999999999999</c:v>
                </c:pt>
                <c:pt idx="6">
                  <c:v>0.68</c:v>
                </c:pt>
                <c:pt idx="7">
                  <c:v>0.72699999999999998</c:v>
                </c:pt>
                <c:pt idx="8">
                  <c:v>0.83099999999999996</c:v>
                </c:pt>
                <c:pt idx="9">
                  <c:v>0.877</c:v>
                </c:pt>
                <c:pt idx="10">
                  <c:v>0.92300000000000004</c:v>
                </c:pt>
                <c:pt idx="11">
                  <c:v>0.84299999999999997</c:v>
                </c:pt>
                <c:pt idx="12">
                  <c:v>0.71699999999999997</c:v>
                </c:pt>
                <c:pt idx="13">
                  <c:v>0.57799999999999996</c:v>
                </c:pt>
                <c:pt idx="14">
                  <c:v>0.73</c:v>
                </c:pt>
                <c:pt idx="15">
                  <c:v>0.76200000000000001</c:v>
                </c:pt>
                <c:pt idx="16">
                  <c:v>0.79500000000000004</c:v>
                </c:pt>
                <c:pt idx="17">
                  <c:v>0.91700000000000004</c:v>
                </c:pt>
                <c:pt idx="18">
                  <c:v>1.133</c:v>
                </c:pt>
                <c:pt idx="19">
                  <c:v>1.1140000000000001</c:v>
                </c:pt>
                <c:pt idx="20">
                  <c:v>0.96799999999999997</c:v>
                </c:pt>
                <c:pt idx="21">
                  <c:v>0.89900000000000002</c:v>
                </c:pt>
                <c:pt idx="22">
                  <c:v>0.89500000000000002</c:v>
                </c:pt>
                <c:pt idx="23">
                  <c:v>0.88300000000000001</c:v>
                </c:pt>
                <c:pt idx="24">
                  <c:v>0.86</c:v>
                </c:pt>
                <c:pt idx="25">
                  <c:v>0.88700000000000001</c:v>
                </c:pt>
                <c:pt idx="26">
                  <c:v>0.91100000000000003</c:v>
                </c:pt>
                <c:pt idx="27">
                  <c:v>0.86</c:v>
                </c:pt>
                <c:pt idx="28">
                  <c:v>0.77900000000000003</c:v>
                </c:pt>
                <c:pt idx="29">
                  <c:v>0.78200000000000003</c:v>
                </c:pt>
                <c:pt idx="30">
                  <c:v>0.82299999999999995</c:v>
                </c:pt>
                <c:pt idx="31">
                  <c:v>0.85</c:v>
                </c:pt>
                <c:pt idx="32">
                  <c:v>0.73499999999999999</c:v>
                </c:pt>
                <c:pt idx="33">
                  <c:v>0.621</c:v>
                </c:pt>
                <c:pt idx="34">
                  <c:v>0.56699999999999995</c:v>
                </c:pt>
                <c:pt idx="35">
                  <c:v>0.53500000000000003</c:v>
                </c:pt>
                <c:pt idx="36">
                  <c:v>0.59899999999999998</c:v>
                </c:pt>
              </c:numCache>
            </c:numRef>
          </c:yVal>
        </c:ser>
        <c:axId val="65395712"/>
        <c:axId val="65418368"/>
      </c:scatterChart>
      <c:valAx>
        <c:axId val="6539571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418368"/>
        <c:crosses val="autoZero"/>
        <c:crossBetween val="midCat"/>
        <c:majorUnit val="5"/>
        <c:minorUnit val="3.8539999999999988"/>
      </c:valAx>
      <c:valAx>
        <c:axId val="6541836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957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'Indices-Reg1'!$FB$1:$FC$1</c:f>
          <c:strCache>
            <c:ptCount val="1"/>
            <c:pt idx="0">
              <c:v>ATL CHIN-TAI-LL</c:v>
            </c:pt>
          </c:strCache>
        </c:strRef>
      </c:tx>
      <c:layout>
        <c:manualLayout>
          <c:xMode val="edge"/>
          <c:yMode val="edge"/>
          <c:x val="0.27095009022304223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402"/>
          <c:y val="0.23174675020693891"/>
          <c:w val="0.52793368095004856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'Indices-Reg1'!$FB$12:$FB$100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'Indices-Reg1'!$FJ$12:$FJ$100</c:f>
              <c:numCache>
                <c:formatCode>General</c:formatCode>
                <c:ptCount val="89"/>
                <c:pt idx="0">
                  <c:v>1.403</c:v>
                </c:pt>
                <c:pt idx="1">
                  <c:v>1.0999999999999999E-2</c:v>
                </c:pt>
                <c:pt idx="2">
                  <c:v>8.9999999999999993E-3</c:v>
                </c:pt>
                <c:pt idx="3">
                  <c:v>3.7999999999999999E-2</c:v>
                </c:pt>
                <c:pt idx="4">
                  <c:v>0.27700000000000002</c:v>
                </c:pt>
                <c:pt idx="5">
                  <c:v>0.16400000000000001</c:v>
                </c:pt>
                <c:pt idx="6">
                  <c:v>2.5000000000000001E-2</c:v>
                </c:pt>
                <c:pt idx="7">
                  <c:v>0.109</c:v>
                </c:pt>
                <c:pt idx="8">
                  <c:v>0.26700000000000002</c:v>
                </c:pt>
                <c:pt idx="9">
                  <c:v>0.28000000000000003</c:v>
                </c:pt>
                <c:pt idx="10">
                  <c:v>0.16600000000000001</c:v>
                </c:pt>
                <c:pt idx="11">
                  <c:v>0.2</c:v>
                </c:pt>
                <c:pt idx="12">
                  <c:v>0.27400000000000002</c:v>
                </c:pt>
                <c:pt idx="13">
                  <c:v>0.128</c:v>
                </c:pt>
                <c:pt idx="14">
                  <c:v>5.0999999999999997E-2</c:v>
                </c:pt>
                <c:pt idx="15">
                  <c:v>0.13100000000000001</c:v>
                </c:pt>
                <c:pt idx="16">
                  <c:v>3.7999999999999999E-2</c:v>
                </c:pt>
                <c:pt idx="17">
                  <c:v>0.17199999999999999</c:v>
                </c:pt>
                <c:pt idx="18">
                  <c:v>8.4000000000000005E-2</c:v>
                </c:pt>
                <c:pt idx="19">
                  <c:v>0.32500000000000001</c:v>
                </c:pt>
                <c:pt idx="20">
                  <c:v>0.219</c:v>
                </c:pt>
                <c:pt idx="21">
                  <c:v>8.5000000000000006E-2</c:v>
                </c:pt>
                <c:pt idx="22">
                  <c:v>0.29399999999999998</c:v>
                </c:pt>
                <c:pt idx="23">
                  <c:v>8.5000000000000006E-2</c:v>
                </c:pt>
                <c:pt idx="24">
                  <c:v>0.01</c:v>
                </c:pt>
                <c:pt idx="25">
                  <c:v>1E-3</c:v>
                </c:pt>
                <c:pt idx="26">
                  <c:v>2.5999999999999999E-2</c:v>
                </c:pt>
                <c:pt idx="27">
                  <c:v>0.13500000000000001</c:v>
                </c:pt>
                <c:pt idx="28">
                  <c:v>7.1999999999999995E-2</c:v>
                </c:pt>
                <c:pt idx="29">
                  <c:v>0.28000000000000003</c:v>
                </c:pt>
                <c:pt idx="30">
                  <c:v>0.111</c:v>
                </c:pt>
                <c:pt idx="31">
                  <c:v>0.314</c:v>
                </c:pt>
                <c:pt idx="32">
                  <c:v>0.09</c:v>
                </c:pt>
                <c:pt idx="33">
                  <c:v>1.4E-2</c:v>
                </c:pt>
                <c:pt idx="34">
                  <c:v>0</c:v>
                </c:pt>
                <c:pt idx="35">
                  <c:v>0.13</c:v>
                </c:pt>
                <c:pt idx="36">
                  <c:v>3.7999999999999999E-2</c:v>
                </c:pt>
              </c:numCache>
            </c:numRef>
          </c:yVal>
        </c:ser>
        <c:axId val="65444096"/>
        <c:axId val="65451520"/>
      </c:scatterChart>
      <c:valAx>
        <c:axId val="6544409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451520"/>
        <c:crosses val="autoZero"/>
        <c:crossBetween val="midCat"/>
        <c:majorUnit val="5"/>
        <c:minorUnit val="3.8539999999999988"/>
      </c:valAx>
      <c:valAx>
        <c:axId val="654515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44409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'Indices-Reg1'!$FB$1:$FC$1</c:f>
          <c:strCache>
            <c:ptCount val="1"/>
            <c:pt idx="0">
              <c:v>ATL CHIN-TAI-LL</c:v>
            </c:pt>
          </c:strCache>
        </c:strRef>
      </c:tx>
      <c:layout>
        <c:manualLayout>
          <c:xMode val="edge"/>
          <c:yMode val="edge"/>
          <c:x val="0.32590529247910882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'Indices-Reg1'!$FB$12:$FB$100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'Indices-Reg1'!$FE$12:$FE$100</c:f>
              <c:numCache>
                <c:formatCode>General</c:formatCode>
                <c:ptCount val="89"/>
                <c:pt idx="0">
                  <c:v>0.91400000000000003</c:v>
                </c:pt>
                <c:pt idx="1">
                  <c:v>0.32900000000000001</c:v>
                </c:pt>
                <c:pt idx="2">
                  <c:v>0.32</c:v>
                </c:pt>
                <c:pt idx="3">
                  <c:v>0.39200000000000002</c:v>
                </c:pt>
                <c:pt idx="4">
                  <c:v>-0.29899999999999999</c:v>
                </c:pt>
                <c:pt idx="5">
                  <c:v>-0.14499999999999999</c:v>
                </c:pt>
                <c:pt idx="6">
                  <c:v>0.112</c:v>
                </c:pt>
                <c:pt idx="7">
                  <c:v>-0.06</c:v>
                </c:pt>
                <c:pt idx="8">
                  <c:v>-0.28599999999999998</c:v>
                </c:pt>
                <c:pt idx="9">
                  <c:v>-0.30299999999999999</c:v>
                </c:pt>
                <c:pt idx="10">
                  <c:v>-0.14699999999999999</c:v>
                </c:pt>
                <c:pt idx="11">
                  <c:v>-0.19500000000000001</c:v>
                </c:pt>
                <c:pt idx="12">
                  <c:v>-0.29599999999999999</c:v>
                </c:pt>
                <c:pt idx="13">
                  <c:v>-8.8999999999999996E-2</c:v>
                </c:pt>
                <c:pt idx="14">
                  <c:v>4.8000000000000001E-2</c:v>
                </c:pt>
                <c:pt idx="15">
                  <c:v>-9.5000000000000001E-2</c:v>
                </c:pt>
                <c:pt idx="16">
                  <c:v>7.9000000000000001E-2</c:v>
                </c:pt>
                <c:pt idx="17">
                  <c:v>-0.156</c:v>
                </c:pt>
                <c:pt idx="18">
                  <c:v>-1.7000000000000001E-2</c:v>
                </c:pt>
                <c:pt idx="19">
                  <c:v>-0.36199999999999999</c:v>
                </c:pt>
                <c:pt idx="20">
                  <c:v>-0.221</c:v>
                </c:pt>
                <c:pt idx="21">
                  <c:v>-1.7999999999999999E-2</c:v>
                </c:pt>
                <c:pt idx="22">
                  <c:v>-0.32200000000000001</c:v>
                </c:pt>
                <c:pt idx="23">
                  <c:v>-1.7999999999999999E-2</c:v>
                </c:pt>
                <c:pt idx="24">
                  <c:v>0.32400000000000001</c:v>
                </c:pt>
                <c:pt idx="25">
                  <c:v>0.27700000000000002</c:v>
                </c:pt>
                <c:pt idx="26">
                  <c:v>0.11</c:v>
                </c:pt>
                <c:pt idx="27">
                  <c:v>-0.10100000000000001</c:v>
                </c:pt>
                <c:pt idx="28">
                  <c:v>5.0000000000000001E-3</c:v>
                </c:pt>
                <c:pt idx="29">
                  <c:v>-0.30299999999999999</c:v>
                </c:pt>
                <c:pt idx="30">
                  <c:v>-6.2E-2</c:v>
                </c:pt>
                <c:pt idx="31">
                  <c:v>-0.34799999999999998</c:v>
                </c:pt>
                <c:pt idx="32">
                  <c:v>-2.5999999999999999E-2</c:v>
                </c:pt>
                <c:pt idx="33">
                  <c:v>0.14699999999999999</c:v>
                </c:pt>
                <c:pt idx="34">
                  <c:v>0.23400000000000001</c:v>
                </c:pt>
                <c:pt idx="35">
                  <c:v>0.501</c:v>
                </c:pt>
                <c:pt idx="36">
                  <c:v>7.8E-2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5583744"/>
        <c:axId val="65647360"/>
      </c:scatterChart>
      <c:valAx>
        <c:axId val="6558374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47360"/>
        <c:crossesAt val="-4"/>
        <c:crossBetween val="midCat"/>
        <c:majorUnit val="5"/>
        <c:minorUnit val="3.8539999999999988"/>
      </c:valAx>
      <c:valAx>
        <c:axId val="6564736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837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'Indices-Reg1'!$FN$1:$FO$1</c:f>
          <c:strCache>
            <c:ptCount val="1"/>
            <c:pt idx="0">
              <c:v>ATL TROP-PS</c:v>
            </c:pt>
          </c:strCache>
        </c:strRef>
      </c:tx>
      <c:layout>
        <c:manualLayout>
          <c:xMode val="edge"/>
          <c:yMode val="edge"/>
          <c:x val="0.32869080779944559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'Indices-Reg1'!$FN$12:$FN$100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'Indices-Reg1'!$FT$12:$FT$100</c:f>
              <c:numCache>
                <c:formatCode>General</c:formatCode>
                <c:ptCount val="89"/>
                <c:pt idx="0">
                  <c:v>0.25</c:v>
                </c:pt>
                <c:pt idx="1">
                  <c:v>0.65</c:v>
                </c:pt>
                <c:pt idx="2">
                  <c:v>0.39</c:v>
                </c:pt>
                <c:pt idx="3">
                  <c:v>0.49</c:v>
                </c:pt>
                <c:pt idx="4">
                  <c:v>0.17</c:v>
                </c:pt>
                <c:pt idx="5">
                  <c:v>0.6</c:v>
                </c:pt>
                <c:pt idx="6">
                  <c:v>0.56999999999999995</c:v>
                </c:pt>
                <c:pt idx="7">
                  <c:v>0.62</c:v>
                </c:pt>
                <c:pt idx="8">
                  <c:v>0.56999999999999995</c:v>
                </c:pt>
                <c:pt idx="9">
                  <c:v>1</c:v>
                </c:pt>
                <c:pt idx="10">
                  <c:v>0.96</c:v>
                </c:pt>
                <c:pt idx="11">
                  <c:v>0.69</c:v>
                </c:pt>
                <c:pt idx="12">
                  <c:v>0.61</c:v>
                </c:pt>
                <c:pt idx="13">
                  <c:v>0.5</c:v>
                </c:pt>
                <c:pt idx="14">
                  <c:v>0.63</c:v>
                </c:pt>
                <c:pt idx="15">
                  <c:v>0.6</c:v>
                </c:pt>
                <c:pt idx="16">
                  <c:v>0.56000000000000005</c:v>
                </c:pt>
                <c:pt idx="17">
                  <c:v>0.69</c:v>
                </c:pt>
                <c:pt idx="18">
                  <c:v>0.53</c:v>
                </c:pt>
                <c:pt idx="19">
                  <c:v>0.44</c:v>
                </c:pt>
                <c:pt idx="20">
                  <c:v>0.4</c:v>
                </c:pt>
                <c:pt idx="21">
                  <c:v>0.51</c:v>
                </c:pt>
                <c:pt idx="22">
                  <c:v>0.7</c:v>
                </c:pt>
                <c:pt idx="23">
                  <c:v>0.79</c:v>
                </c:pt>
                <c:pt idx="24">
                  <c:v>0.53</c:v>
                </c:pt>
                <c:pt idx="25">
                  <c:v>0.5</c:v>
                </c:pt>
                <c:pt idx="26">
                  <c:v>0.6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'Indices-Reg1'!$FN$12:$FN$100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'Indices-Reg1'!$FU$12:$FU$100</c:f>
              <c:numCache>
                <c:formatCode>General</c:formatCode>
                <c:ptCount val="89"/>
                <c:pt idx="0">
                  <c:v>0.68300000000000005</c:v>
                </c:pt>
                <c:pt idx="1">
                  <c:v>0.626</c:v>
                </c:pt>
                <c:pt idx="2">
                  <c:v>0.53</c:v>
                </c:pt>
                <c:pt idx="3">
                  <c:v>0.32400000000000001</c:v>
                </c:pt>
                <c:pt idx="4">
                  <c:v>0.438</c:v>
                </c:pt>
                <c:pt idx="5">
                  <c:v>0.44700000000000001</c:v>
                </c:pt>
                <c:pt idx="6">
                  <c:v>0.48799999999999999</c:v>
                </c:pt>
                <c:pt idx="7">
                  <c:v>0.51100000000000001</c:v>
                </c:pt>
                <c:pt idx="8">
                  <c:v>0.754</c:v>
                </c:pt>
                <c:pt idx="9">
                  <c:v>0.82099999999999995</c:v>
                </c:pt>
                <c:pt idx="10">
                  <c:v>0.71899999999999997</c:v>
                </c:pt>
                <c:pt idx="11">
                  <c:v>0.61299999999999999</c:v>
                </c:pt>
                <c:pt idx="12">
                  <c:v>0.58399999999999996</c:v>
                </c:pt>
                <c:pt idx="13">
                  <c:v>0.58299999999999996</c:v>
                </c:pt>
                <c:pt idx="14">
                  <c:v>0.55000000000000004</c:v>
                </c:pt>
                <c:pt idx="15">
                  <c:v>0.55800000000000005</c:v>
                </c:pt>
                <c:pt idx="16">
                  <c:v>0.63300000000000001</c:v>
                </c:pt>
                <c:pt idx="17">
                  <c:v>0.64300000000000002</c:v>
                </c:pt>
                <c:pt idx="18">
                  <c:v>0.58699999999999997</c:v>
                </c:pt>
                <c:pt idx="19">
                  <c:v>0.54900000000000004</c:v>
                </c:pt>
                <c:pt idx="20">
                  <c:v>0.55300000000000005</c:v>
                </c:pt>
                <c:pt idx="21">
                  <c:v>0.61</c:v>
                </c:pt>
                <c:pt idx="22">
                  <c:v>0.58299999999999996</c:v>
                </c:pt>
                <c:pt idx="23">
                  <c:v>0.48099999999999998</c:v>
                </c:pt>
                <c:pt idx="24">
                  <c:v>0.44900000000000001</c:v>
                </c:pt>
                <c:pt idx="25">
                  <c:v>0.35399999999999998</c:v>
                </c:pt>
                <c:pt idx="26">
                  <c:v>0.39100000000000001</c:v>
                </c:pt>
              </c:numCache>
            </c:numRef>
          </c:yVal>
        </c:ser>
        <c:axId val="65798144"/>
        <c:axId val="65800064"/>
      </c:scatterChart>
      <c:valAx>
        <c:axId val="6579814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00064"/>
        <c:crosses val="autoZero"/>
        <c:crossBetween val="midCat"/>
        <c:majorUnit val="5"/>
        <c:minorUnit val="3.8539999999999988"/>
      </c:valAx>
      <c:valAx>
        <c:axId val="65800064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7981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'Indices-Reg1'!$FN$1:$FO$1</c:f>
          <c:strCache>
            <c:ptCount val="1"/>
            <c:pt idx="0">
              <c:v>ATL TROP-PS</c:v>
            </c:pt>
          </c:strCache>
        </c:strRef>
      </c:tx>
      <c:layout>
        <c:manualLayout>
          <c:xMode val="edge"/>
          <c:yMode val="edge"/>
          <c:x val="0.27095009022304223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402"/>
          <c:y val="0.23174675020693891"/>
          <c:w val="0.52793368095004856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'Indices-Reg1'!$FN$12:$FN$100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'Indices-Reg1'!$FV$12:$FV$100</c:f>
              <c:numCache>
                <c:formatCode>General</c:formatCode>
                <c:ptCount val="89"/>
                <c:pt idx="0">
                  <c:v>0.79700000000000004</c:v>
                </c:pt>
                <c:pt idx="1">
                  <c:v>5.6000000000000001E-2</c:v>
                </c:pt>
                <c:pt idx="2">
                  <c:v>0.28299999999999997</c:v>
                </c:pt>
                <c:pt idx="3">
                  <c:v>0.05</c:v>
                </c:pt>
                <c:pt idx="4">
                  <c:v>0.75800000000000001</c:v>
                </c:pt>
                <c:pt idx="5">
                  <c:v>3.0000000000000001E-3</c:v>
                </c:pt>
                <c:pt idx="6">
                  <c:v>1.2E-2</c:v>
                </c:pt>
                <c:pt idx="7">
                  <c:v>4.0000000000000001E-3</c:v>
                </c:pt>
                <c:pt idx="8">
                  <c:v>0.26200000000000001</c:v>
                </c:pt>
                <c:pt idx="9">
                  <c:v>4.0000000000000001E-3</c:v>
                </c:pt>
                <c:pt idx="10">
                  <c:v>3.0000000000000001E-3</c:v>
                </c:pt>
                <c:pt idx="11">
                  <c:v>2.3E-2</c:v>
                </c:pt>
                <c:pt idx="12">
                  <c:v>5.2999999999999999E-2</c:v>
                </c:pt>
                <c:pt idx="13">
                  <c:v>0.17</c:v>
                </c:pt>
                <c:pt idx="14">
                  <c:v>1.7000000000000001E-2</c:v>
                </c:pt>
                <c:pt idx="15">
                  <c:v>0.04</c:v>
                </c:pt>
                <c:pt idx="16">
                  <c:v>0.15</c:v>
                </c:pt>
                <c:pt idx="17">
                  <c:v>4.1000000000000002E-2</c:v>
                </c:pt>
                <c:pt idx="18">
                  <c:v>0.13600000000000001</c:v>
                </c:pt>
                <c:pt idx="19">
                  <c:v>0.218</c:v>
                </c:pt>
                <c:pt idx="20">
                  <c:v>0.29499999999999998</c:v>
                </c:pt>
                <c:pt idx="21">
                  <c:v>0.188</c:v>
                </c:pt>
                <c:pt idx="22">
                  <c:v>6.0000000000000001E-3</c:v>
                </c:pt>
                <c:pt idx="23">
                  <c:v>0.123</c:v>
                </c:pt>
                <c:pt idx="24">
                  <c:v>0.01</c:v>
                </c:pt>
                <c:pt idx="25">
                  <c:v>1.6E-2</c:v>
                </c:pt>
                <c:pt idx="26">
                  <c:v>6.0999999999999999E-2</c:v>
                </c:pt>
              </c:numCache>
            </c:numRef>
          </c:yVal>
        </c:ser>
        <c:axId val="65824256"/>
        <c:axId val="65831680"/>
      </c:scatterChart>
      <c:valAx>
        <c:axId val="6582425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31680"/>
        <c:crosses val="autoZero"/>
        <c:crossBetween val="midCat"/>
        <c:majorUnit val="5"/>
        <c:minorUnit val="3.8539999999999988"/>
      </c:valAx>
      <c:valAx>
        <c:axId val="658316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425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'Indices-Reg1'!$FN$1:$FO$1</c:f>
          <c:strCache>
            <c:ptCount val="1"/>
            <c:pt idx="0">
              <c:v>ATL TROP-PS</c:v>
            </c:pt>
          </c:strCache>
        </c:strRef>
      </c:tx>
      <c:layout>
        <c:manualLayout>
          <c:xMode val="edge"/>
          <c:yMode val="edge"/>
          <c:x val="0.32590529247910882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'Indices-Reg1'!$FN$12:$FN$100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'Indices-Reg1'!$FQ$12:$FQ$100</c:f>
              <c:numCache>
                <c:formatCode>General</c:formatCode>
                <c:ptCount val="89"/>
                <c:pt idx="0">
                  <c:v>-1.0049999999999999</c:v>
                </c:pt>
                <c:pt idx="1">
                  <c:v>3.7999999999999999E-2</c:v>
                </c:pt>
                <c:pt idx="2">
                  <c:v>-0.308</c:v>
                </c:pt>
                <c:pt idx="3">
                  <c:v>0.41199999999999998</c:v>
                </c:pt>
                <c:pt idx="4">
                  <c:v>-0.94599999999999995</c:v>
                </c:pt>
                <c:pt idx="5">
                  <c:v>0.29399999999999998</c:v>
                </c:pt>
                <c:pt idx="6">
                  <c:v>0.156</c:v>
                </c:pt>
                <c:pt idx="7">
                  <c:v>0.19400000000000001</c:v>
                </c:pt>
                <c:pt idx="8">
                  <c:v>-0.28000000000000003</c:v>
                </c:pt>
                <c:pt idx="9">
                  <c:v>0.19800000000000001</c:v>
                </c:pt>
                <c:pt idx="10">
                  <c:v>0.28899999999999998</c:v>
                </c:pt>
                <c:pt idx="11">
                  <c:v>0.11899999999999999</c:v>
                </c:pt>
                <c:pt idx="12">
                  <c:v>4.2999999999999997E-2</c:v>
                </c:pt>
                <c:pt idx="13">
                  <c:v>-0.153</c:v>
                </c:pt>
                <c:pt idx="14">
                  <c:v>0.13700000000000001</c:v>
                </c:pt>
                <c:pt idx="15">
                  <c:v>7.1999999999999995E-2</c:v>
                </c:pt>
                <c:pt idx="16">
                  <c:v>-0.123</c:v>
                </c:pt>
                <c:pt idx="17">
                  <c:v>7.0999999999999994E-2</c:v>
                </c:pt>
                <c:pt idx="18">
                  <c:v>-0.10199999999999999</c:v>
                </c:pt>
                <c:pt idx="19">
                  <c:v>-0.221</c:v>
                </c:pt>
                <c:pt idx="20">
                  <c:v>-0.32300000000000001</c:v>
                </c:pt>
                <c:pt idx="21">
                  <c:v>-0.17899999999999999</c:v>
                </c:pt>
                <c:pt idx="22">
                  <c:v>0.183</c:v>
                </c:pt>
                <c:pt idx="23">
                  <c:v>0.495</c:v>
                </c:pt>
                <c:pt idx="24">
                  <c:v>0.16500000000000001</c:v>
                </c:pt>
                <c:pt idx="25">
                  <c:v>0.34499999999999997</c:v>
                </c:pt>
                <c:pt idx="26">
                  <c:v>0.42699999999999999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5845888"/>
        <c:axId val="65856256"/>
      </c:scatterChart>
      <c:valAx>
        <c:axId val="6584588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56256"/>
        <c:crossesAt val="-4"/>
        <c:crossBetween val="midCat"/>
        <c:majorUnit val="5"/>
        <c:minorUnit val="3.8539999999999988"/>
      </c:valAx>
      <c:valAx>
        <c:axId val="65856256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458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'Indices-Reg1'!$FZ$1:$GA$1</c:f>
          <c:strCache>
            <c:ptCount val="1"/>
            <c:pt idx="0">
              <c:v>ATL CAN-IS-BB</c:v>
            </c:pt>
          </c:strCache>
        </c:strRef>
      </c:tx>
      <c:layout>
        <c:manualLayout>
          <c:xMode val="edge"/>
          <c:yMode val="edge"/>
          <c:x val="0.30362116991643562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'Indices-Reg1'!$FZ$12:$FZ$100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'Indices-Reg1'!$GF$12:$GF$100</c:f>
              <c:numCache>
                <c:formatCode>General</c:formatCode>
                <c:ptCount val="89"/>
                <c:pt idx="0">
                  <c:v>0.01</c:v>
                </c:pt>
                <c:pt idx="1">
                  <c:v>0.02</c:v>
                </c:pt>
                <c:pt idx="2">
                  <c:v>9.4E-2</c:v>
                </c:pt>
                <c:pt idx="3">
                  <c:v>0.16600000000000001</c:v>
                </c:pt>
                <c:pt idx="4">
                  <c:v>0.62</c:v>
                </c:pt>
                <c:pt idx="5">
                  <c:v>0.26900000000000002</c:v>
                </c:pt>
                <c:pt idx="6">
                  <c:v>0.17299999999999999</c:v>
                </c:pt>
                <c:pt idx="7">
                  <c:v>0.38700000000000001</c:v>
                </c:pt>
                <c:pt idx="8">
                  <c:v>0.40200000000000002</c:v>
                </c:pt>
                <c:pt idx="9">
                  <c:v>0.23799999999999999</c:v>
                </c:pt>
                <c:pt idx="10">
                  <c:v>0.60499999999999998</c:v>
                </c:pt>
                <c:pt idx="11">
                  <c:v>0.53500000000000003</c:v>
                </c:pt>
                <c:pt idx="12">
                  <c:v>0.31</c:v>
                </c:pt>
                <c:pt idx="13">
                  <c:v>0.14199999999999999</c:v>
                </c:pt>
                <c:pt idx="14">
                  <c:v>8.4000000000000005E-2</c:v>
                </c:pt>
                <c:pt idx="15">
                  <c:v>3.5999999999999997E-2</c:v>
                </c:pt>
                <c:pt idx="16">
                  <c:v>0.53900000000000003</c:v>
                </c:pt>
                <c:pt idx="17">
                  <c:v>6.4000000000000001E-2</c:v>
                </c:pt>
                <c:pt idx="18">
                  <c:v>0.76300000000000001</c:v>
                </c:pt>
                <c:pt idx="19">
                  <c:v>7.2999999999999995E-2</c:v>
                </c:pt>
                <c:pt idx="20">
                  <c:v>2E-3</c:v>
                </c:pt>
                <c:pt idx="21">
                  <c:v>0</c:v>
                </c:pt>
                <c:pt idx="22">
                  <c:v>2.5000000000000001E-2</c:v>
                </c:pt>
                <c:pt idx="23">
                  <c:v>4.5999999999999999E-2</c:v>
                </c:pt>
                <c:pt idx="24">
                  <c:v>3.7999999999999999E-2</c:v>
                </c:pt>
                <c:pt idx="25">
                  <c:v>5.0000000000000001E-3</c:v>
                </c:pt>
                <c:pt idx="26">
                  <c:v>1.6E-2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'Indices-Reg1'!$FZ$12:$FZ$100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'Indices-Reg1'!$GG$12:$GG$100</c:f>
              <c:numCache>
                <c:formatCode>General</c:formatCode>
                <c:ptCount val="89"/>
                <c:pt idx="0">
                  <c:v>8.1000000000000003E-2</c:v>
                </c:pt>
                <c:pt idx="1">
                  <c:v>6.9000000000000006E-2</c:v>
                </c:pt>
                <c:pt idx="2">
                  <c:v>6.4000000000000001E-2</c:v>
                </c:pt>
                <c:pt idx="3">
                  <c:v>6.6000000000000003E-2</c:v>
                </c:pt>
                <c:pt idx="4">
                  <c:v>7.1999999999999995E-2</c:v>
                </c:pt>
                <c:pt idx="5">
                  <c:v>7.8E-2</c:v>
                </c:pt>
                <c:pt idx="6">
                  <c:v>7.6999999999999999E-2</c:v>
                </c:pt>
                <c:pt idx="7">
                  <c:v>9.1999999999999998E-2</c:v>
                </c:pt>
                <c:pt idx="8">
                  <c:v>9.6000000000000002E-2</c:v>
                </c:pt>
                <c:pt idx="9">
                  <c:v>9.4E-2</c:v>
                </c:pt>
                <c:pt idx="10">
                  <c:v>8.4000000000000005E-2</c:v>
                </c:pt>
                <c:pt idx="11">
                  <c:v>8.6999999999999994E-2</c:v>
                </c:pt>
                <c:pt idx="12">
                  <c:v>0.08</c:v>
                </c:pt>
                <c:pt idx="13">
                  <c:v>7.0000000000000007E-2</c:v>
                </c:pt>
                <c:pt idx="14">
                  <c:v>0.08</c:v>
                </c:pt>
                <c:pt idx="15">
                  <c:v>8.4000000000000005E-2</c:v>
                </c:pt>
                <c:pt idx="16">
                  <c:v>7.8E-2</c:v>
                </c:pt>
                <c:pt idx="17">
                  <c:v>7.2999999999999995E-2</c:v>
                </c:pt>
                <c:pt idx="18">
                  <c:v>6.6000000000000003E-2</c:v>
                </c:pt>
                <c:pt idx="19">
                  <c:v>6.5000000000000002E-2</c:v>
                </c:pt>
                <c:pt idx="20">
                  <c:v>7.1999999999999995E-2</c:v>
                </c:pt>
                <c:pt idx="21">
                  <c:v>6.0999999999999999E-2</c:v>
                </c:pt>
                <c:pt idx="22">
                  <c:v>5.8999999999999997E-2</c:v>
                </c:pt>
                <c:pt idx="23">
                  <c:v>5.0999999999999997E-2</c:v>
                </c:pt>
                <c:pt idx="24">
                  <c:v>4.3999999999999997E-2</c:v>
                </c:pt>
                <c:pt idx="25">
                  <c:v>4.7E-2</c:v>
                </c:pt>
                <c:pt idx="26">
                  <c:v>5.3999999999999999E-2</c:v>
                </c:pt>
              </c:numCache>
            </c:numRef>
          </c:yVal>
        </c:ser>
        <c:axId val="65895424"/>
        <c:axId val="65930368"/>
      </c:scatterChart>
      <c:valAx>
        <c:axId val="6589542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30368"/>
        <c:crosses val="autoZero"/>
        <c:crossBetween val="midCat"/>
        <c:majorUnit val="5"/>
        <c:minorUnit val="3.8539999999999988"/>
      </c:valAx>
      <c:valAx>
        <c:axId val="6593036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95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'Indices-Reg1'!$FZ$1:$GA$1</c:f>
          <c:strCache>
            <c:ptCount val="1"/>
            <c:pt idx="0">
              <c:v>ATL CAN-IS-BB</c:v>
            </c:pt>
          </c:strCache>
        </c:strRef>
      </c:tx>
      <c:layout>
        <c:manualLayout>
          <c:xMode val="edge"/>
          <c:yMode val="edge"/>
          <c:x val="0.24581039113018252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402"/>
          <c:y val="0.23174675020693891"/>
          <c:w val="0.52793368095004856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'Indices-Reg1'!$FZ$12:$FZ$100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'Indices-Reg1'!$GH$12:$GH$100</c:f>
              <c:numCache>
                <c:formatCode>General</c:formatCode>
                <c:ptCount val="89"/>
                <c:pt idx="0">
                  <c:v>1.286</c:v>
                </c:pt>
                <c:pt idx="1">
                  <c:v>0.95</c:v>
                </c:pt>
                <c:pt idx="2">
                  <c:v>3.9E-2</c:v>
                </c:pt>
                <c:pt idx="3">
                  <c:v>1.446</c:v>
                </c:pt>
                <c:pt idx="4">
                  <c:v>51.755000000000003</c:v>
                </c:pt>
                <c:pt idx="5">
                  <c:v>4.492</c:v>
                </c:pt>
                <c:pt idx="6">
                  <c:v>0.871</c:v>
                </c:pt>
                <c:pt idx="7">
                  <c:v>8.2360000000000007</c:v>
                </c:pt>
                <c:pt idx="8">
                  <c:v>8.0869999999999997</c:v>
                </c:pt>
                <c:pt idx="9">
                  <c:v>1.4750000000000001</c:v>
                </c:pt>
                <c:pt idx="10">
                  <c:v>33.670999999999999</c:v>
                </c:pt>
                <c:pt idx="11">
                  <c:v>22.303999999999998</c:v>
                </c:pt>
                <c:pt idx="12">
                  <c:v>6.4950000000000001</c:v>
                </c:pt>
                <c:pt idx="13">
                  <c:v>0.53400000000000003</c:v>
                </c:pt>
                <c:pt idx="14">
                  <c:v>5.1999999999999998E-2</c:v>
                </c:pt>
                <c:pt idx="15">
                  <c:v>0.69199999999999995</c:v>
                </c:pt>
                <c:pt idx="16">
                  <c:v>30.291</c:v>
                </c:pt>
                <c:pt idx="17">
                  <c:v>0.152</c:v>
                </c:pt>
                <c:pt idx="18">
                  <c:v>100.127</c:v>
                </c:pt>
                <c:pt idx="19">
                  <c:v>2.3E-2</c:v>
                </c:pt>
                <c:pt idx="20">
                  <c:v>1.4870000000000001</c:v>
                </c:pt>
                <c:pt idx="21">
                  <c:v>1.56</c:v>
                </c:pt>
                <c:pt idx="22">
                  <c:v>0.70499999999999996</c:v>
                </c:pt>
                <c:pt idx="23">
                  <c:v>0.13600000000000001</c:v>
                </c:pt>
                <c:pt idx="24">
                  <c:v>0.17</c:v>
                </c:pt>
                <c:pt idx="25">
                  <c:v>1.3080000000000001</c:v>
                </c:pt>
                <c:pt idx="26">
                  <c:v>0.91700000000000004</c:v>
                </c:pt>
              </c:numCache>
            </c:numRef>
          </c:yVal>
        </c:ser>
        <c:axId val="65966848"/>
        <c:axId val="65986560"/>
      </c:scatterChart>
      <c:valAx>
        <c:axId val="6596684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86560"/>
        <c:crosses val="autoZero"/>
        <c:crossBetween val="midCat"/>
        <c:majorUnit val="5"/>
        <c:minorUnit val="3.8539999999999988"/>
      </c:valAx>
      <c:valAx>
        <c:axId val="659865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66848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'Indices-Reg1'!$FZ$1:$GA$1</c:f>
          <c:strCache>
            <c:ptCount val="1"/>
            <c:pt idx="0">
              <c:v>ATL CAN-IS-BB</c:v>
            </c:pt>
          </c:strCache>
        </c:strRef>
      </c:tx>
      <c:layout>
        <c:manualLayout>
          <c:xMode val="edge"/>
          <c:yMode val="edge"/>
          <c:x val="0.30083565459610029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'Indices-Reg1'!$FZ$12:$FZ$100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'Indices-Reg1'!$GC$12:$GC$100</c:f>
              <c:numCache>
                <c:formatCode>General</c:formatCode>
                <c:ptCount val="89"/>
                <c:pt idx="0">
                  <c:v>-2.133</c:v>
                </c:pt>
                <c:pt idx="1">
                  <c:v>-1.2649999999999999</c:v>
                </c:pt>
                <c:pt idx="2">
                  <c:v>0.39400000000000002</c:v>
                </c:pt>
                <c:pt idx="3">
                  <c:v>0.92100000000000004</c:v>
                </c:pt>
                <c:pt idx="4">
                  <c:v>2.1579999999999999</c:v>
                </c:pt>
                <c:pt idx="5">
                  <c:v>1.2390000000000001</c:v>
                </c:pt>
                <c:pt idx="6">
                  <c:v>0.80500000000000005</c:v>
                </c:pt>
                <c:pt idx="7">
                  <c:v>1.44</c:v>
                </c:pt>
                <c:pt idx="8">
                  <c:v>1.4339999999999999</c:v>
                </c:pt>
                <c:pt idx="9">
                  <c:v>0.92600000000000005</c:v>
                </c:pt>
                <c:pt idx="10">
                  <c:v>1.978</c:v>
                </c:pt>
                <c:pt idx="11">
                  <c:v>1.8120000000000001</c:v>
                </c:pt>
                <c:pt idx="12">
                  <c:v>1.359</c:v>
                </c:pt>
                <c:pt idx="13">
                  <c:v>0.70799999999999996</c:v>
                </c:pt>
                <c:pt idx="14">
                  <c:v>4.7E-2</c:v>
                </c:pt>
                <c:pt idx="15">
                  <c:v>-0.84799999999999998</c:v>
                </c:pt>
                <c:pt idx="16">
                  <c:v>1.9339999999999999</c:v>
                </c:pt>
                <c:pt idx="17">
                  <c:v>-0.126</c:v>
                </c:pt>
                <c:pt idx="18">
                  <c:v>2.4449999999999998</c:v>
                </c:pt>
                <c:pt idx="19">
                  <c:v>0.11799999999999999</c:v>
                </c:pt>
                <c:pt idx="20">
                  <c:v>-3.464</c:v>
                </c:pt>
                <c:pt idx="21">
                  <c:v>-7.3360000000000003</c:v>
                </c:pt>
                <c:pt idx="22">
                  <c:v>-0.86699999999999999</c:v>
                </c:pt>
                <c:pt idx="23">
                  <c:v>-0.10199999999999999</c:v>
                </c:pt>
                <c:pt idx="24">
                  <c:v>-0.153</c:v>
                </c:pt>
                <c:pt idx="25">
                  <c:v>-2.2170000000000001</c:v>
                </c:pt>
                <c:pt idx="26">
                  <c:v>-1.206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6016768"/>
        <c:axId val="66018688"/>
      </c:scatterChart>
      <c:valAx>
        <c:axId val="6601676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018688"/>
        <c:crossesAt val="-4"/>
        <c:crossBetween val="midCat"/>
        <c:majorUnit val="5"/>
        <c:minorUnit val="3.8539999999999988"/>
      </c:valAx>
      <c:valAx>
        <c:axId val="66018688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016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'Indices-Reg1'!$GL$1:$GM$1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8440111420612816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'Indices-Reg1'!$GR$12:$GR$100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'Indices-Reg1'!$GS$12:$GS$100</c:f>
              <c:numCache>
                <c:formatCode>General</c:formatCode>
                <c:ptCount val="89"/>
              </c:numCache>
            </c:numRef>
          </c:yVal>
        </c:ser>
        <c:axId val="66323584"/>
        <c:axId val="66325504"/>
      </c:scatterChart>
      <c:valAx>
        <c:axId val="6632358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25504"/>
        <c:crosses val="autoZero"/>
        <c:crossBetween val="midCat"/>
        <c:majorUnit val="5"/>
        <c:minorUnit val="3.8539999999999988"/>
      </c:valAx>
      <c:valAx>
        <c:axId val="66325504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235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'Indices-Reg1'!$GL$1:$GM$1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26816088207175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402"/>
          <c:y val="0.23174675020693891"/>
          <c:w val="0.52793368095004856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'Indices-Reg1'!$GT$12:$GT$100</c:f>
              <c:numCache>
                <c:formatCode>General</c:formatCode>
                <c:ptCount val="89"/>
              </c:numCache>
            </c:numRef>
          </c:yVal>
        </c:ser>
        <c:axId val="66333696"/>
        <c:axId val="66340352"/>
      </c:scatterChart>
      <c:valAx>
        <c:axId val="6633369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40352"/>
        <c:crosses val="autoZero"/>
        <c:crossBetween val="midCat"/>
        <c:majorUnit val="5"/>
        <c:minorUnit val="3.8539999999999988"/>
      </c:valAx>
      <c:valAx>
        <c:axId val="663403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3369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'Indices-Reg1'!$GL$1:$GM$1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8161559888579388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5759548926320506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'Indices-Reg1'!$GO$12:$GO$100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6382848"/>
        <c:axId val="66385024"/>
      </c:scatterChart>
      <c:valAx>
        <c:axId val="6638284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85024"/>
        <c:crossesAt val="-4"/>
        <c:crossBetween val="midCat"/>
        <c:majorUnit val="5"/>
        <c:minorUnit val="3.8539999999999988"/>
      </c:valAx>
      <c:valAx>
        <c:axId val="6638502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828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'Indices-Reg1'!$GX$1:$GY$1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7883008356546138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81894150417828"/>
          <c:y val="0.20820189274448006"/>
          <c:w val="0.55431754874651551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'Indices-Reg1'!$HD$12:$HD$100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'Indices-Reg1'!$HE$12:$HE$100</c:f>
              <c:numCache>
                <c:formatCode>General</c:formatCode>
                <c:ptCount val="89"/>
              </c:numCache>
            </c:numRef>
          </c:yVal>
        </c:ser>
        <c:axId val="66407424"/>
        <c:axId val="66413696"/>
      </c:scatterChart>
      <c:valAx>
        <c:axId val="6640742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5431754874651551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13696"/>
        <c:crosses val="autoZero"/>
        <c:crossBetween val="midCat"/>
        <c:majorUnit val="5"/>
        <c:minorUnit val="3.8539999999999988"/>
      </c:valAx>
      <c:valAx>
        <c:axId val="66413696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07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150417827298062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'Indices-Reg1'!$GX$1:$GY$1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2122948840876031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402"/>
          <c:y val="0.23174675020693891"/>
          <c:w val="0.52793368095004856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'Indices-Reg1'!$HF$12:$HF$100</c:f>
              <c:numCache>
                <c:formatCode>General</c:formatCode>
                <c:ptCount val="89"/>
              </c:numCache>
            </c:numRef>
          </c:yVal>
        </c:ser>
        <c:axId val="66450176"/>
        <c:axId val="66457600"/>
      </c:scatterChart>
      <c:valAx>
        <c:axId val="6645017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57600"/>
        <c:crosses val="autoZero"/>
        <c:crossBetween val="midCat"/>
        <c:majorUnit val="5"/>
        <c:minorUnit val="3.8539999999999988"/>
      </c:valAx>
      <c:valAx>
        <c:axId val="6645760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5017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'Indices-Reg1'!$GX$1:$GY$1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7604456824512628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'Indices-Reg1'!$HA$12:$HA$100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6475520"/>
        <c:axId val="66477440"/>
      </c:scatterChart>
      <c:valAx>
        <c:axId val="6647552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77440"/>
        <c:crossesAt val="-4"/>
        <c:crossBetween val="midCat"/>
        <c:majorUnit val="5"/>
        <c:minorUnit val="3.8539999999999988"/>
      </c:valAx>
      <c:valAx>
        <c:axId val="6647744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75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'Indices-Reg1'!$HJ$1:$HK$1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2653634904246279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8"/>
          <c:y val="0.23174675020693891"/>
          <c:w val="0.56424657963973524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'Indices-Reg1'!$HR$12:$HR$100</c:f>
              <c:numCache>
                <c:formatCode>General</c:formatCode>
                <c:ptCount val="89"/>
              </c:numCache>
            </c:numRef>
          </c:yVal>
        </c:ser>
        <c:axId val="66500864"/>
        <c:axId val="66512384"/>
      </c:scatterChart>
      <c:valAx>
        <c:axId val="665008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12384"/>
        <c:crosses val="autoZero"/>
        <c:crossBetween val="midCat"/>
        <c:majorUnit val="5"/>
        <c:minorUnit val="3.8539999999999988"/>
      </c:valAx>
      <c:valAx>
        <c:axId val="6651238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0086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'Indices-Reg1'!$HJ$1:$HK$1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2033426183844294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5759548926320506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'Indices-Reg1'!$HM$12:$HM$100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6530304"/>
        <c:axId val="66536576"/>
      </c:scatterChart>
      <c:valAx>
        <c:axId val="665303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36576"/>
        <c:crossesAt val="-4"/>
        <c:crossBetween val="midCat"/>
        <c:majorUnit val="5"/>
        <c:minorUnit val="3.8539999999999988"/>
      </c:valAx>
      <c:valAx>
        <c:axId val="66536576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30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'Indices-Reg1'!$HV$1:$HW$1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5933147632311985"/>
          <c:y val="6.9400630914827011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6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'Indices-Reg1'!$IB$12:$IB$100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'Indices-Reg1'!$IC$12:$IC$100</c:f>
              <c:numCache>
                <c:formatCode>General</c:formatCode>
                <c:ptCount val="89"/>
              </c:numCache>
            </c:numRef>
          </c:yVal>
        </c:ser>
        <c:axId val="66550784"/>
        <c:axId val="66573440"/>
      </c:scatterChart>
      <c:valAx>
        <c:axId val="6655078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73440"/>
        <c:crosses val="autoZero"/>
        <c:crossBetween val="midCat"/>
        <c:majorUnit val="5"/>
        <c:minorUnit val="3.8539999999999988"/>
      </c:valAx>
      <c:valAx>
        <c:axId val="66573440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6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507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74"/>
          <c:y val="0.89274447949526814"/>
          <c:w val="0.4233983286908089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'Indices-Reg1'!$HV$1:$HW$1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016763891143155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402"/>
          <c:y val="0.23174675020693891"/>
          <c:w val="0.52793368095004856"/>
          <c:h val="0.40635046611627745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'Indices-Reg1'!$ID$12:$ID$100</c:f>
              <c:numCache>
                <c:formatCode>General</c:formatCode>
                <c:ptCount val="89"/>
              </c:numCache>
            </c:numRef>
          </c:yVal>
        </c:ser>
        <c:axId val="66581248"/>
        <c:axId val="66605056"/>
      </c:scatterChart>
      <c:valAx>
        <c:axId val="6658124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605056"/>
        <c:crosses val="autoZero"/>
        <c:crossBetween val="midCat"/>
        <c:majorUnit val="5"/>
        <c:minorUnit val="3.8539999999999988"/>
      </c:valAx>
      <c:valAx>
        <c:axId val="666050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81248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'Indices-Reg1'!$HV$1:$HW$1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5654596100278674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6003"/>
          <c:y val="0.23734213889150779"/>
          <c:w val="0.62674094707521077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'Indices-Reg1'!$HY$12:$HY$100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6624896"/>
        <c:axId val="66647552"/>
      </c:scatterChart>
      <c:valAx>
        <c:axId val="6662489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647552"/>
        <c:crossesAt val="-4"/>
        <c:crossBetween val="midCat"/>
        <c:majorUnit val="5"/>
        <c:minorUnit val="3.8539999999999988"/>
      </c:valAx>
      <c:valAx>
        <c:axId val="6664755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624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 paperSize="170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'Indices-Reg1'!$DF$1:$DG$1</c:f>
          <c:strCache>
            <c:ptCount val="1"/>
            <c:pt idx="0">
              <c:v>ATL EUR-PS 3%</c:v>
            </c:pt>
          </c:strCache>
        </c:strRef>
      </c:tx>
      <c:layout>
        <c:manualLayout>
          <c:xMode val="edge"/>
          <c:yMode val="edge"/>
          <c:x val="0.35376044568245257"/>
          <c:y val="6.9400630914827066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12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'Indices-Reg1'!$DF$12:$DF$100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</c:numCache>
            </c:numRef>
          </c:xVal>
          <c:yVal>
            <c:numRef>
              <c:f>'Indices-Reg1'!$DL$12:$DL$100</c:f>
              <c:numCache>
                <c:formatCode>General</c:formatCode>
                <c:ptCount val="89"/>
                <c:pt idx="0">
                  <c:v>5.0609999999999999</c:v>
                </c:pt>
                <c:pt idx="1">
                  <c:v>4.3179999999999996</c:v>
                </c:pt>
                <c:pt idx="2">
                  <c:v>4.7949999999999999</c:v>
                </c:pt>
                <c:pt idx="3">
                  <c:v>4.8330000000000002</c:v>
                </c:pt>
                <c:pt idx="4">
                  <c:v>4.4050000000000002</c:v>
                </c:pt>
                <c:pt idx="5">
                  <c:v>4.7439999999999998</c:v>
                </c:pt>
                <c:pt idx="6">
                  <c:v>4.6929999999999996</c:v>
                </c:pt>
                <c:pt idx="7">
                  <c:v>4.6100000000000003</c:v>
                </c:pt>
                <c:pt idx="8">
                  <c:v>4.1950000000000003</c:v>
                </c:pt>
                <c:pt idx="9">
                  <c:v>4.1710000000000003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'Indices-Reg1'!$DF$12:$DF$100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</c:numCache>
            </c:numRef>
          </c:xVal>
          <c:yVal>
            <c:numRef>
              <c:f>'Indices-Reg1'!$DM$12:$DM$100</c:f>
              <c:numCache>
                <c:formatCode>General</c:formatCode>
                <c:ptCount val="89"/>
                <c:pt idx="0">
                  <c:v>4.117</c:v>
                </c:pt>
                <c:pt idx="1">
                  <c:v>4.4059999999999997</c:v>
                </c:pt>
                <c:pt idx="2">
                  <c:v>4.8129999999999997</c:v>
                </c:pt>
                <c:pt idx="3">
                  <c:v>5.0190000000000001</c:v>
                </c:pt>
                <c:pt idx="4">
                  <c:v>5.0279999999999996</c:v>
                </c:pt>
                <c:pt idx="5">
                  <c:v>4.6769999999999996</c:v>
                </c:pt>
                <c:pt idx="6">
                  <c:v>4.0419999999999998</c:v>
                </c:pt>
                <c:pt idx="7">
                  <c:v>4.12</c:v>
                </c:pt>
                <c:pt idx="8">
                  <c:v>4.6180000000000003</c:v>
                </c:pt>
                <c:pt idx="9">
                  <c:v>5.056</c:v>
                </c:pt>
              </c:numCache>
            </c:numRef>
          </c:yVal>
        </c:ser>
        <c:axId val="66677760"/>
        <c:axId val="66684032"/>
      </c:scatterChart>
      <c:valAx>
        <c:axId val="6667776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94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684032"/>
        <c:crosses val="autoZero"/>
        <c:crossBetween val="midCat"/>
        <c:majorUnit val="5"/>
        <c:minorUnit val="3.8539999999999988"/>
      </c:valAx>
      <c:valAx>
        <c:axId val="66684032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63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6777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9"/>
          <c:y val="0.89274447949526814"/>
          <c:w val="0.42339832869080901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'Indices-Reg1'!$HJ$1:$HK$1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7883008356546194"/>
          <c:y val="6.940063091482716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81894150417828"/>
          <c:y val="0.20820189274448028"/>
          <c:w val="0.55431754874651473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'Indices-Reg1'!$HP$12:$HP$100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'Indices-Reg1'!$HQ$12:$HQ$100</c:f>
              <c:numCache>
                <c:formatCode>General</c:formatCode>
                <c:ptCount val="89"/>
              </c:numCache>
            </c:numRef>
          </c:yVal>
        </c:ser>
        <c:axId val="66759680"/>
        <c:axId val="66765952"/>
      </c:scatterChart>
      <c:valAx>
        <c:axId val="6675968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543175487465147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765952"/>
        <c:crosses val="autoZero"/>
        <c:crossBetween val="midCat"/>
        <c:majorUnit val="5"/>
        <c:minorUnit val="3.8539999999999988"/>
      </c:valAx>
      <c:valAx>
        <c:axId val="667659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 Untransformed Index</a:t>
                </a:r>
              </a:p>
            </c:rich>
          </c:tx>
          <c:layout>
            <c:manualLayout>
              <c:xMode val="edge"/>
              <c:yMode val="edge"/>
              <c:x val="1.3927576601671373E-2"/>
              <c:y val="0.2176656151419558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759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1504178272980663"/>
          <c:y val="0.89274447949526814"/>
          <c:w val="0.42339832869080923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66" r="0.75000000000000266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'Indices-Reg1'!$AL$1:$AN$1</c:f>
          <c:strCache>
            <c:ptCount val="1"/>
            <c:pt idx="0">
              <c:v>ATL USMEX_LL</c:v>
            </c:pt>
          </c:strCache>
        </c:strRef>
      </c:tx>
      <c:layout>
        <c:manualLayout>
          <c:xMode val="edge"/>
          <c:yMode val="edge"/>
          <c:x val="0.31476323119777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614"/>
          <c:h val="0.4303804118566027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'Indices-Reg1'!$AO$12:$AO$100</c:f>
              <c:numCache>
                <c:formatCode>General</c:formatCode>
                <c:ptCount val="89"/>
                <c:pt idx="0">
                  <c:v>3.3000000000000002E-2</c:v>
                </c:pt>
                <c:pt idx="1">
                  <c:v>0.378</c:v>
                </c:pt>
                <c:pt idx="2">
                  <c:v>-0.11</c:v>
                </c:pt>
                <c:pt idx="3">
                  <c:v>-0.245</c:v>
                </c:pt>
                <c:pt idx="4">
                  <c:v>-8.4000000000000005E-2</c:v>
                </c:pt>
                <c:pt idx="5">
                  <c:v>-0.06</c:v>
                </c:pt>
                <c:pt idx="6">
                  <c:v>0.35199999999999998</c:v>
                </c:pt>
                <c:pt idx="7">
                  <c:v>-9.6000000000000002E-2</c:v>
                </c:pt>
                <c:pt idx="8">
                  <c:v>-0.36299999999999999</c:v>
                </c:pt>
                <c:pt idx="9">
                  <c:v>-0.128</c:v>
                </c:pt>
                <c:pt idx="10">
                  <c:v>0.189</c:v>
                </c:pt>
                <c:pt idx="11">
                  <c:v>0.105</c:v>
                </c:pt>
                <c:pt idx="12">
                  <c:v>5.8000000000000003E-2</c:v>
                </c:pt>
                <c:pt idx="13">
                  <c:v>-2.8000000000000001E-2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74961024"/>
        <c:axId val="174962944"/>
      </c:scatterChart>
      <c:valAx>
        <c:axId val="174961024"/>
        <c:scaling>
          <c:orientation val="minMax"/>
          <c:max val="2008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45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962944"/>
        <c:crossesAt val="-4"/>
        <c:crossBetween val="midCat"/>
        <c:majorUnit val="5"/>
        <c:minorUnit val="3.8539999999999988"/>
      </c:valAx>
      <c:valAx>
        <c:axId val="17496294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9610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89" r="0.75000000000000289" t="1" header="0.5" footer="0.5"/>
    <c:pageSetup paperSize="170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'Selectivity-Figures'!$A$1</c:f>
          <c:strCache>
            <c:ptCount val="1"/>
            <c:pt idx="0">
              <c:v>BRA_BB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'Selectivity-Figures'!$B$3:$F$3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'Selectivity-Figures'!$B$5:$F$5</c:f>
              <c:numCache>
                <c:formatCode>General</c:formatCode>
                <c:ptCount val="5"/>
                <c:pt idx="0">
                  <c:v>6.0000000000000001E-3</c:v>
                </c:pt>
                <c:pt idx="1">
                  <c:v>0.57999999999999996</c:v>
                </c:pt>
                <c:pt idx="2">
                  <c:v>1</c:v>
                </c:pt>
                <c:pt idx="3">
                  <c:v>0.216</c:v>
                </c:pt>
                <c:pt idx="4">
                  <c:v>1.6E-2</c:v>
                </c:pt>
              </c:numCache>
            </c:numRef>
          </c:yVal>
        </c:ser>
        <c:axId val="74851840"/>
        <c:axId val="74853760"/>
      </c:scatterChart>
      <c:valAx>
        <c:axId val="74851840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4853760"/>
        <c:crosses val="autoZero"/>
        <c:crossBetween val="midCat"/>
      </c:valAx>
      <c:valAx>
        <c:axId val="74853760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4851840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'Selectivity-Figures'!$A$99</c:f>
          <c:strCache>
            <c:ptCount val="1"/>
            <c:pt idx="0">
              <c:v>JPN_LL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'Selectivity-Figures'!$B$101:$G$101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'Selectivity-Figures'!$B$103:$G$103</c:f>
              <c:numCache>
                <c:formatCode>General</c:formatCode>
                <c:ptCount val="6"/>
                <c:pt idx="0">
                  <c:v>0</c:v>
                </c:pt>
                <c:pt idx="1">
                  <c:v>2E-3</c:v>
                </c:pt>
                <c:pt idx="2">
                  <c:v>0.187</c:v>
                </c:pt>
                <c:pt idx="3">
                  <c:v>0.83799999999999997</c:v>
                </c:pt>
                <c:pt idx="4">
                  <c:v>1</c:v>
                </c:pt>
                <c:pt idx="5">
                  <c:v>0.43099999999999999</c:v>
                </c:pt>
              </c:numCache>
            </c:numRef>
          </c:yVal>
        </c:ser>
        <c:axId val="75041792"/>
        <c:axId val="75060352"/>
      </c:scatterChart>
      <c:valAx>
        <c:axId val="75041792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5060352"/>
        <c:crosses val="autoZero"/>
        <c:crossBetween val="midCat"/>
      </c:valAx>
      <c:valAx>
        <c:axId val="75060352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5041792"/>
        <c:crosses val="autoZero"/>
        <c:crossBetween val="midCat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'Selectivity-Figures'!$A$149</c:f>
          <c:strCache>
            <c:ptCount val="1"/>
            <c:pt idx="0">
              <c:v>USMEX_LL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'Selectivity-Figures'!$B$151:$G$151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'Selectivity-Figures'!$B$153:$G$153</c:f>
              <c:numCache>
                <c:formatCode>General</c:formatCode>
                <c:ptCount val="6"/>
                <c:pt idx="0">
                  <c:v>0</c:v>
                </c:pt>
                <c:pt idx="1">
                  <c:v>6.0000000000000001E-3</c:v>
                </c:pt>
                <c:pt idx="2">
                  <c:v>0.27</c:v>
                </c:pt>
                <c:pt idx="3">
                  <c:v>1</c:v>
                </c:pt>
                <c:pt idx="4">
                  <c:v>0.875</c:v>
                </c:pt>
                <c:pt idx="5">
                  <c:v>0.123</c:v>
                </c:pt>
              </c:numCache>
            </c:numRef>
          </c:yVal>
        </c:ser>
        <c:axId val="75076352"/>
        <c:axId val="75078272"/>
      </c:scatterChart>
      <c:valAx>
        <c:axId val="75076352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5078272"/>
        <c:crosses val="autoZero"/>
        <c:crossBetween val="midCat"/>
      </c:valAx>
      <c:valAx>
        <c:axId val="75078272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5076352"/>
        <c:crosses val="autoZero"/>
        <c:crossBetween val="midCat"/>
      </c:valAx>
    </c:plotArea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'Selectivity-Figures'!$A$49</c:f>
          <c:strCache>
            <c:ptCount val="1"/>
            <c:pt idx="0">
              <c:v>BRA_LL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'Selectivity-Figures'!$B$51:$G$51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'Selectivity-Figures'!$B$53:$G$53</c:f>
              <c:numCache>
                <c:formatCode>General</c:formatCode>
                <c:ptCount val="6"/>
                <c:pt idx="0">
                  <c:v>1.4E-2</c:v>
                </c:pt>
                <c:pt idx="1">
                  <c:v>0.17299999999999999</c:v>
                </c:pt>
                <c:pt idx="2">
                  <c:v>0.39900000000000002</c:v>
                </c:pt>
                <c:pt idx="3">
                  <c:v>1</c:v>
                </c:pt>
                <c:pt idx="4">
                  <c:v>0.78200000000000003</c:v>
                </c:pt>
                <c:pt idx="5">
                  <c:v>0.46700000000000003</c:v>
                </c:pt>
              </c:numCache>
            </c:numRef>
          </c:yVal>
        </c:ser>
        <c:axId val="75090176"/>
        <c:axId val="75108736"/>
      </c:scatterChart>
      <c:valAx>
        <c:axId val="75090176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5108736"/>
        <c:crosses val="autoZero"/>
        <c:crossBetween val="midCat"/>
      </c:valAx>
      <c:valAx>
        <c:axId val="75108736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5090176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'Selectivity-Figures'!$A$199</c:f>
          <c:strCache>
            <c:ptCount val="1"/>
            <c:pt idx="0">
              <c:v>US_RR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'Selectivity-Figures'!$B$201:$G$201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'Selectivity-Figures'!$B$203:$G$203</c:f>
              <c:numCache>
                <c:formatCode>General</c:formatCode>
                <c:ptCount val="6"/>
                <c:pt idx="0">
                  <c:v>0</c:v>
                </c:pt>
                <c:pt idx="1">
                  <c:v>0.09</c:v>
                </c:pt>
                <c:pt idx="2">
                  <c:v>1</c:v>
                </c:pt>
                <c:pt idx="3">
                  <c:v>0.19600000000000001</c:v>
                </c:pt>
                <c:pt idx="4">
                  <c:v>9.9000000000000005E-2</c:v>
                </c:pt>
                <c:pt idx="5">
                  <c:v>7.1999999999999995E-2</c:v>
                </c:pt>
              </c:numCache>
            </c:numRef>
          </c:yVal>
        </c:ser>
        <c:axId val="75128832"/>
        <c:axId val="75130752"/>
      </c:scatterChart>
      <c:valAx>
        <c:axId val="75128832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5130752"/>
        <c:crosses val="autoZero"/>
        <c:crossBetween val="midCat"/>
      </c:valAx>
      <c:valAx>
        <c:axId val="75130752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5128832"/>
        <c:crosses val="autoZero"/>
        <c:crossBetween val="midCat"/>
      </c:valAx>
    </c:plotArea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'Selectivity-Figures'!$A$249</c:f>
          <c:strCache>
            <c:ptCount val="1"/>
            <c:pt idx="0">
              <c:v>US_PLL ATL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'Selectivity-Figures'!$B$251:$G$251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'Selectivity-Figures'!$B$253:$G$253</c:f>
              <c:numCache>
                <c:formatCode>General</c:formatCode>
                <c:ptCount val="6"/>
                <c:pt idx="0">
                  <c:v>0</c:v>
                </c:pt>
                <c:pt idx="1">
                  <c:v>5.0000000000000001E-3</c:v>
                </c:pt>
                <c:pt idx="2">
                  <c:v>0.245</c:v>
                </c:pt>
                <c:pt idx="3">
                  <c:v>1</c:v>
                </c:pt>
                <c:pt idx="4">
                  <c:v>0.63700000000000001</c:v>
                </c:pt>
                <c:pt idx="5">
                  <c:v>7.2999999999999995E-2</c:v>
                </c:pt>
              </c:numCache>
            </c:numRef>
          </c:yVal>
        </c:ser>
        <c:axId val="75138560"/>
        <c:axId val="75140480"/>
      </c:scatterChart>
      <c:valAx>
        <c:axId val="75138560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5140480"/>
        <c:crosses val="autoZero"/>
        <c:crossBetween val="midCat"/>
      </c:valAx>
      <c:valAx>
        <c:axId val="75140480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5138560"/>
        <c:crosses val="autoZero"/>
        <c:crossBetween val="midCat"/>
      </c:valAx>
    </c:plotArea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'Selectivity-Figures'!$A$299</c:f>
          <c:strCache>
            <c:ptCount val="1"/>
            <c:pt idx="0">
              <c:v>VEN_LL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'Selectivity-Figures'!$B$301:$G$301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'Selectivity-Figures'!$B$303:$G$303</c:f>
              <c:numCache>
                <c:formatCode>General</c:formatCode>
                <c:ptCount val="6"/>
                <c:pt idx="0">
                  <c:v>0</c:v>
                </c:pt>
                <c:pt idx="1">
                  <c:v>1.2E-2</c:v>
                </c:pt>
                <c:pt idx="2">
                  <c:v>9.5000000000000001E-2</c:v>
                </c:pt>
                <c:pt idx="3">
                  <c:v>0.7</c:v>
                </c:pt>
                <c:pt idx="4">
                  <c:v>1</c:v>
                </c:pt>
                <c:pt idx="5">
                  <c:v>0.71</c:v>
                </c:pt>
              </c:numCache>
            </c:numRef>
          </c:yVal>
        </c:ser>
        <c:axId val="75168768"/>
        <c:axId val="75187328"/>
      </c:scatterChart>
      <c:valAx>
        <c:axId val="75168768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5187328"/>
        <c:crosses val="autoZero"/>
        <c:crossBetween val="midCat"/>
      </c:valAx>
      <c:valAx>
        <c:axId val="75187328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5168768"/>
        <c:crosses val="autoZero"/>
        <c:crossBetween val="midCat"/>
      </c:valAx>
    </c:plotArea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'Selectivity-Figures'!$A$349</c:f>
          <c:strCache>
            <c:ptCount val="1"/>
            <c:pt idx="0">
              <c:v>VEN_PS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'Selectivity-Figures'!$B$351:$G$351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'Selectivity-Figures'!$B$353:$G$353</c:f>
              <c:numCache>
                <c:formatCode>General</c:formatCode>
                <c:ptCount val="6"/>
                <c:pt idx="0">
                  <c:v>1.2E-2</c:v>
                </c:pt>
                <c:pt idx="1">
                  <c:v>0.54</c:v>
                </c:pt>
                <c:pt idx="2">
                  <c:v>0.79300000000000004</c:v>
                </c:pt>
                <c:pt idx="3">
                  <c:v>1</c:v>
                </c:pt>
                <c:pt idx="4">
                  <c:v>0.26100000000000001</c:v>
                </c:pt>
              </c:numCache>
            </c:numRef>
          </c:yVal>
        </c:ser>
        <c:axId val="75223808"/>
        <c:axId val="75225728"/>
      </c:scatterChart>
      <c:valAx>
        <c:axId val="75223808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5225728"/>
        <c:crosses val="autoZero"/>
        <c:crossBetween val="midCat"/>
      </c:valAx>
      <c:valAx>
        <c:axId val="75225728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5223808"/>
        <c:crosses val="autoZero"/>
        <c:crossBetween val="midCat"/>
      </c:valAx>
    </c:plotArea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'Selectivity-Figures'!$A$399</c:f>
          <c:strCache>
            <c:ptCount val="1"/>
            <c:pt idx="0">
              <c:v>EUR-FAD-PS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'Selectivity-Figures'!$B$401:$G$401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'Selectivity-Figures'!$B$403:$G$403</c:f>
              <c:numCache>
                <c:formatCode>General</c:formatCode>
                <c:ptCount val="6"/>
                <c:pt idx="0">
                  <c:v>0.75800000000000001</c:v>
                </c:pt>
                <c:pt idx="1">
                  <c:v>1</c:v>
                </c:pt>
              </c:numCache>
            </c:numRef>
          </c:yVal>
        </c:ser>
        <c:axId val="75262208"/>
        <c:axId val="75268480"/>
      </c:scatterChart>
      <c:valAx>
        <c:axId val="75262208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5268480"/>
        <c:crosses val="autoZero"/>
        <c:crossBetween val="midCat"/>
        <c:majorUnit val="1"/>
      </c:valAx>
      <c:valAx>
        <c:axId val="75268480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5262208"/>
        <c:crosses val="autoZero"/>
        <c:crossBetween val="midCat"/>
      </c:valAx>
    </c:plotArea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'Selectivity-Figures'!$A$449</c:f>
          <c:strCache>
            <c:ptCount val="1"/>
            <c:pt idx="0">
              <c:v>EUR-PS 3%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'Selectivity-Figures'!$B$451:$G$451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'Selectivity-Figures'!$B$453:$G$453</c:f>
              <c:numCache>
                <c:formatCode>General</c:formatCode>
                <c:ptCount val="6"/>
                <c:pt idx="0">
                  <c:v>2.4E-2</c:v>
                </c:pt>
                <c:pt idx="1">
                  <c:v>0.16800000000000001</c:v>
                </c:pt>
                <c:pt idx="2">
                  <c:v>0.28399999999999997</c:v>
                </c:pt>
                <c:pt idx="3">
                  <c:v>0.47699999999999998</c:v>
                </c:pt>
                <c:pt idx="4">
                  <c:v>1</c:v>
                </c:pt>
                <c:pt idx="5">
                  <c:v>0.51800000000000002</c:v>
                </c:pt>
              </c:numCache>
            </c:numRef>
          </c:yVal>
        </c:ser>
        <c:axId val="75313152"/>
        <c:axId val="75315072"/>
      </c:scatterChart>
      <c:valAx>
        <c:axId val="75313152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5315072"/>
        <c:crosses val="autoZero"/>
        <c:crossBetween val="midCat"/>
        <c:majorUnit val="1"/>
      </c:valAx>
      <c:valAx>
        <c:axId val="75315072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5313152"/>
        <c:crosses val="autoZero"/>
        <c:crossBetween val="midCat"/>
      </c:valAx>
    </c:plotArea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'Selectivity-Figures'!$A$699</c:f>
          <c:strCache>
            <c:ptCount val="1"/>
            <c:pt idx="0">
              <c:v>TROP-PS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'Selectivity-Figures'!$B$701:$G$701</c:f>
              <c:numCache>
                <c:formatCode>General</c:formatCode>
                <c:ptCount val="6"/>
                <c:pt idx="0">
                  <c:v>3</c:v>
                </c:pt>
                <c:pt idx="1">
                  <c:v>4</c:v>
                </c:pt>
                <c:pt idx="2">
                  <c:v>5</c:v>
                </c:pt>
              </c:numCache>
            </c:numRef>
          </c:xVal>
          <c:yVal>
            <c:numRef>
              <c:f>'Selectivity-Figures'!$B$703:$G$703</c:f>
              <c:numCache>
                <c:formatCode>General</c:formatCode>
                <c:ptCount val="6"/>
                <c:pt idx="0">
                  <c:v>29.518000000000001</c:v>
                </c:pt>
                <c:pt idx="1">
                  <c:v>54.953000000000003</c:v>
                </c:pt>
                <c:pt idx="2">
                  <c:v>78.542000000000002</c:v>
                </c:pt>
              </c:numCache>
            </c:numRef>
          </c:yVal>
        </c:ser>
        <c:axId val="75339264"/>
        <c:axId val="75341184"/>
      </c:scatterChart>
      <c:valAx>
        <c:axId val="75339264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5341184"/>
        <c:crosses val="autoZero"/>
        <c:crossBetween val="midCat"/>
        <c:majorUnit val="1"/>
      </c:valAx>
      <c:valAx>
        <c:axId val="75341184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5339264"/>
        <c:crosses val="autoZero"/>
        <c:crossBetween val="midCat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'Selectivity-Figures'!$A$549</c:f>
          <c:strCache>
            <c:ptCount val="1"/>
            <c:pt idx="0">
              <c:v>URU-LL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'Selectivity-Figures'!$B$551:$G$551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'Selectivity-Figures'!$B$553:$G$553</c:f>
              <c:numCache>
                <c:formatCode>General</c:formatCode>
                <c:ptCount val="6"/>
                <c:pt idx="0">
                  <c:v>0</c:v>
                </c:pt>
                <c:pt idx="1">
                  <c:v>3.1E-2</c:v>
                </c:pt>
                <c:pt idx="2">
                  <c:v>0.52500000000000002</c:v>
                </c:pt>
                <c:pt idx="3">
                  <c:v>1</c:v>
                </c:pt>
                <c:pt idx="4">
                  <c:v>0.72399999999999998</c:v>
                </c:pt>
                <c:pt idx="5">
                  <c:v>0.215</c:v>
                </c:pt>
              </c:numCache>
            </c:numRef>
          </c:yVal>
        </c:ser>
        <c:axId val="75353472"/>
        <c:axId val="75359744"/>
      </c:scatterChart>
      <c:valAx>
        <c:axId val="75353472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75359744"/>
        <c:crosses val="autoZero"/>
        <c:crossBetween val="midCat"/>
        <c:majorUnit val="1"/>
      </c:valAx>
      <c:valAx>
        <c:axId val="75359744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75353472"/>
        <c:crosses val="autoZero"/>
        <c:crossBetween val="midCat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'Selectivity-Figures'!$A$499</c:f>
          <c:strCache>
            <c:ptCount val="1"/>
            <c:pt idx="0">
              <c:v>EU-DAKAR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'Selectivity-Figures'!$B$501:$G$501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'Selectivity-Figures'!$B$503:$G$503</c:f>
              <c:numCache>
                <c:formatCode>General</c:formatCode>
                <c:ptCount val="6"/>
                <c:pt idx="0">
                  <c:v>5.7000000000000002E-2</c:v>
                </c:pt>
                <c:pt idx="1">
                  <c:v>1</c:v>
                </c:pt>
                <c:pt idx="2">
                  <c:v>0.72</c:v>
                </c:pt>
                <c:pt idx="3">
                  <c:v>0.23699999999999999</c:v>
                </c:pt>
                <c:pt idx="4">
                  <c:v>8.1000000000000003E-2</c:v>
                </c:pt>
              </c:numCache>
            </c:numRef>
          </c:yVal>
        </c:ser>
        <c:axId val="89257088"/>
        <c:axId val="89259008"/>
      </c:scatterChart>
      <c:valAx>
        <c:axId val="89257088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89259008"/>
        <c:crosses val="autoZero"/>
        <c:crossBetween val="midCat"/>
        <c:majorUnit val="1"/>
      </c:valAx>
      <c:valAx>
        <c:axId val="89259008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89257088"/>
        <c:crosses val="autoZero"/>
        <c:crossBetween val="midCat"/>
      </c:valAx>
    </c:plotArea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'Selectivity-Figures'!$A$599</c:f>
          <c:strCache>
            <c:ptCount val="1"/>
            <c:pt idx="0">
              <c:v>BRA-URU-LL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'Selectivity-Figures'!$B$601:$G$601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'Selectivity-Figures'!$B$603:$G$603</c:f>
              <c:numCache>
                <c:formatCode>General</c:formatCode>
                <c:ptCount val="6"/>
                <c:pt idx="0">
                  <c:v>0</c:v>
                </c:pt>
                <c:pt idx="1">
                  <c:v>8.9999999999999993E-3</c:v>
                </c:pt>
                <c:pt idx="2">
                  <c:v>0.20399999999999999</c:v>
                </c:pt>
                <c:pt idx="3">
                  <c:v>0.84799999999999998</c:v>
                </c:pt>
                <c:pt idx="4">
                  <c:v>1</c:v>
                </c:pt>
                <c:pt idx="5">
                  <c:v>0.436</c:v>
                </c:pt>
              </c:numCache>
            </c:numRef>
          </c:yVal>
        </c:ser>
        <c:axId val="89545728"/>
        <c:axId val="89552000"/>
      </c:scatterChart>
      <c:valAx>
        <c:axId val="89545728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89552000"/>
        <c:crosses val="autoZero"/>
        <c:crossBetween val="midCat"/>
        <c:majorUnit val="1"/>
      </c:valAx>
      <c:valAx>
        <c:axId val="89552000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89545728"/>
        <c:crosses val="autoZero"/>
        <c:crossBetween val="midCat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'Selectivity-Figures'!$A$649</c:f>
          <c:strCache>
            <c:ptCount val="1"/>
            <c:pt idx="0">
              <c:v>CHIN-TAI-LL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'Selectivity-Figures'!$B$651:$G$651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'Selectivity-Figures'!$B$653:$G$653</c:f>
              <c:numCache>
                <c:formatCode>General</c:formatCode>
                <c:ptCount val="6"/>
                <c:pt idx="0">
                  <c:v>0</c:v>
                </c:pt>
                <c:pt idx="1">
                  <c:v>8.9999999999999993E-3</c:v>
                </c:pt>
                <c:pt idx="2">
                  <c:v>0.20399999999999999</c:v>
                </c:pt>
                <c:pt idx="3">
                  <c:v>0.84799999999999998</c:v>
                </c:pt>
                <c:pt idx="4">
                  <c:v>1</c:v>
                </c:pt>
                <c:pt idx="5">
                  <c:v>0.436</c:v>
                </c:pt>
              </c:numCache>
            </c:numRef>
          </c:yVal>
        </c:ser>
        <c:axId val="95167232"/>
        <c:axId val="95169152"/>
      </c:scatterChart>
      <c:valAx>
        <c:axId val="95167232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95169152"/>
        <c:crosses val="autoZero"/>
        <c:crossBetween val="midCat"/>
        <c:majorUnit val="1"/>
      </c:valAx>
      <c:valAx>
        <c:axId val="95169152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95167232"/>
        <c:crosses val="autoZero"/>
        <c:crossBetween val="midCat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'Selectivity-Figures'!$A$749</c:f>
          <c:strCache>
            <c:ptCount val="1"/>
            <c:pt idx="0">
              <c:v>CAN-IS-BB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'Selectivity-Figures'!$B$751:$G$751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'Selectivity-Figures'!$B$753:$G$753</c:f>
              <c:numCache>
                <c:formatCode>General</c:formatCode>
                <c:ptCount val="6"/>
                <c:pt idx="0">
                  <c:v>5.0000000000000001E-3</c:v>
                </c:pt>
                <c:pt idx="1">
                  <c:v>0.88300000000000001</c:v>
                </c:pt>
                <c:pt idx="2">
                  <c:v>1</c:v>
                </c:pt>
                <c:pt idx="3">
                  <c:v>0.58899999999999997</c:v>
                </c:pt>
                <c:pt idx="4">
                  <c:v>0.70499999999999996</c:v>
                </c:pt>
              </c:numCache>
            </c:numRef>
          </c:yVal>
        </c:ser>
        <c:axId val="95217920"/>
        <c:axId val="95240576"/>
      </c:scatterChart>
      <c:valAx>
        <c:axId val="95217920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95240576"/>
        <c:crosses val="autoZero"/>
        <c:crossBetween val="midCat"/>
        <c:majorUnit val="1"/>
      </c:valAx>
      <c:valAx>
        <c:axId val="95240576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95217920"/>
        <c:crosses val="autoZero"/>
        <c:crossBetween val="midCat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5.xml"/><Relationship Id="rId18" Type="http://schemas.openxmlformats.org/officeDocument/2006/relationships/chart" Target="../charts/chart30.xml"/><Relationship Id="rId26" Type="http://schemas.openxmlformats.org/officeDocument/2006/relationships/chart" Target="../charts/chart38.xml"/><Relationship Id="rId39" Type="http://schemas.openxmlformats.org/officeDocument/2006/relationships/chart" Target="../charts/chart51.xml"/><Relationship Id="rId21" Type="http://schemas.openxmlformats.org/officeDocument/2006/relationships/chart" Target="../charts/chart33.xml"/><Relationship Id="rId34" Type="http://schemas.openxmlformats.org/officeDocument/2006/relationships/chart" Target="../charts/chart46.xml"/><Relationship Id="rId42" Type="http://schemas.openxmlformats.org/officeDocument/2006/relationships/chart" Target="../charts/chart54.xml"/><Relationship Id="rId47" Type="http://schemas.openxmlformats.org/officeDocument/2006/relationships/chart" Target="../charts/chart59.xml"/><Relationship Id="rId50" Type="http://schemas.openxmlformats.org/officeDocument/2006/relationships/chart" Target="../charts/chart62.xml"/><Relationship Id="rId55" Type="http://schemas.openxmlformats.org/officeDocument/2006/relationships/chart" Target="../charts/chart67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17" Type="http://schemas.openxmlformats.org/officeDocument/2006/relationships/chart" Target="../charts/chart29.xml"/><Relationship Id="rId25" Type="http://schemas.openxmlformats.org/officeDocument/2006/relationships/chart" Target="../charts/chart37.xml"/><Relationship Id="rId33" Type="http://schemas.openxmlformats.org/officeDocument/2006/relationships/chart" Target="../charts/chart45.xml"/><Relationship Id="rId38" Type="http://schemas.openxmlformats.org/officeDocument/2006/relationships/chart" Target="../charts/chart50.xml"/><Relationship Id="rId46" Type="http://schemas.openxmlformats.org/officeDocument/2006/relationships/chart" Target="../charts/chart58.xml"/><Relationship Id="rId59" Type="http://schemas.openxmlformats.org/officeDocument/2006/relationships/chart" Target="../charts/chart71.xml"/><Relationship Id="rId2" Type="http://schemas.openxmlformats.org/officeDocument/2006/relationships/chart" Target="../charts/chart14.xml"/><Relationship Id="rId16" Type="http://schemas.openxmlformats.org/officeDocument/2006/relationships/chart" Target="../charts/chart28.xml"/><Relationship Id="rId20" Type="http://schemas.openxmlformats.org/officeDocument/2006/relationships/chart" Target="../charts/chart32.xml"/><Relationship Id="rId29" Type="http://schemas.openxmlformats.org/officeDocument/2006/relationships/chart" Target="../charts/chart41.xml"/><Relationship Id="rId41" Type="http://schemas.openxmlformats.org/officeDocument/2006/relationships/chart" Target="../charts/chart53.xml"/><Relationship Id="rId54" Type="http://schemas.openxmlformats.org/officeDocument/2006/relationships/chart" Target="../charts/chart66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24" Type="http://schemas.openxmlformats.org/officeDocument/2006/relationships/chart" Target="../charts/chart36.xml"/><Relationship Id="rId32" Type="http://schemas.openxmlformats.org/officeDocument/2006/relationships/chart" Target="../charts/chart44.xml"/><Relationship Id="rId37" Type="http://schemas.openxmlformats.org/officeDocument/2006/relationships/chart" Target="../charts/chart49.xml"/><Relationship Id="rId40" Type="http://schemas.openxmlformats.org/officeDocument/2006/relationships/chart" Target="../charts/chart52.xml"/><Relationship Id="rId45" Type="http://schemas.openxmlformats.org/officeDocument/2006/relationships/chart" Target="../charts/chart57.xml"/><Relationship Id="rId53" Type="http://schemas.openxmlformats.org/officeDocument/2006/relationships/chart" Target="../charts/chart65.xml"/><Relationship Id="rId58" Type="http://schemas.openxmlformats.org/officeDocument/2006/relationships/chart" Target="../charts/chart70.xml"/><Relationship Id="rId5" Type="http://schemas.openxmlformats.org/officeDocument/2006/relationships/chart" Target="../charts/chart17.xml"/><Relationship Id="rId15" Type="http://schemas.openxmlformats.org/officeDocument/2006/relationships/chart" Target="../charts/chart27.xml"/><Relationship Id="rId23" Type="http://schemas.openxmlformats.org/officeDocument/2006/relationships/chart" Target="../charts/chart35.xml"/><Relationship Id="rId28" Type="http://schemas.openxmlformats.org/officeDocument/2006/relationships/chart" Target="../charts/chart40.xml"/><Relationship Id="rId36" Type="http://schemas.openxmlformats.org/officeDocument/2006/relationships/chart" Target="../charts/chart48.xml"/><Relationship Id="rId49" Type="http://schemas.openxmlformats.org/officeDocument/2006/relationships/chart" Target="../charts/chart61.xml"/><Relationship Id="rId57" Type="http://schemas.openxmlformats.org/officeDocument/2006/relationships/chart" Target="../charts/chart69.xml"/><Relationship Id="rId10" Type="http://schemas.openxmlformats.org/officeDocument/2006/relationships/chart" Target="../charts/chart22.xml"/><Relationship Id="rId19" Type="http://schemas.openxmlformats.org/officeDocument/2006/relationships/chart" Target="../charts/chart31.xml"/><Relationship Id="rId31" Type="http://schemas.openxmlformats.org/officeDocument/2006/relationships/chart" Target="../charts/chart43.xml"/><Relationship Id="rId44" Type="http://schemas.openxmlformats.org/officeDocument/2006/relationships/chart" Target="../charts/chart56.xml"/><Relationship Id="rId52" Type="http://schemas.openxmlformats.org/officeDocument/2006/relationships/chart" Target="../charts/chart64.xml"/><Relationship Id="rId60" Type="http://schemas.openxmlformats.org/officeDocument/2006/relationships/chart" Target="../charts/chart7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Relationship Id="rId14" Type="http://schemas.openxmlformats.org/officeDocument/2006/relationships/chart" Target="../charts/chart26.xml"/><Relationship Id="rId22" Type="http://schemas.openxmlformats.org/officeDocument/2006/relationships/chart" Target="../charts/chart34.xml"/><Relationship Id="rId27" Type="http://schemas.openxmlformats.org/officeDocument/2006/relationships/chart" Target="../charts/chart39.xml"/><Relationship Id="rId30" Type="http://schemas.openxmlformats.org/officeDocument/2006/relationships/chart" Target="../charts/chart42.xml"/><Relationship Id="rId35" Type="http://schemas.openxmlformats.org/officeDocument/2006/relationships/chart" Target="../charts/chart47.xml"/><Relationship Id="rId43" Type="http://schemas.openxmlformats.org/officeDocument/2006/relationships/chart" Target="../charts/chart55.xml"/><Relationship Id="rId48" Type="http://schemas.openxmlformats.org/officeDocument/2006/relationships/chart" Target="../charts/chart60.xml"/><Relationship Id="rId56" Type="http://schemas.openxmlformats.org/officeDocument/2006/relationships/chart" Target="../charts/chart68.xml"/><Relationship Id="rId8" Type="http://schemas.openxmlformats.org/officeDocument/2006/relationships/chart" Target="../charts/chart20.xml"/><Relationship Id="rId51" Type="http://schemas.openxmlformats.org/officeDocument/2006/relationships/chart" Target="../charts/chart63.xml"/><Relationship Id="rId3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13" Type="http://schemas.openxmlformats.org/officeDocument/2006/relationships/chart" Target="../charts/chart85.xml"/><Relationship Id="rId3" Type="http://schemas.openxmlformats.org/officeDocument/2006/relationships/chart" Target="../charts/chart75.xml"/><Relationship Id="rId7" Type="http://schemas.openxmlformats.org/officeDocument/2006/relationships/chart" Target="../charts/chart79.xml"/><Relationship Id="rId12" Type="http://schemas.openxmlformats.org/officeDocument/2006/relationships/chart" Target="../charts/chart84.xml"/><Relationship Id="rId2" Type="http://schemas.openxmlformats.org/officeDocument/2006/relationships/chart" Target="../charts/chart74.xml"/><Relationship Id="rId16" Type="http://schemas.openxmlformats.org/officeDocument/2006/relationships/chart" Target="../charts/chart88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11" Type="http://schemas.openxmlformats.org/officeDocument/2006/relationships/chart" Target="../charts/chart83.xml"/><Relationship Id="rId5" Type="http://schemas.openxmlformats.org/officeDocument/2006/relationships/chart" Target="../charts/chart77.xml"/><Relationship Id="rId15" Type="http://schemas.openxmlformats.org/officeDocument/2006/relationships/chart" Target="../charts/chart87.xml"/><Relationship Id="rId10" Type="http://schemas.openxmlformats.org/officeDocument/2006/relationships/chart" Target="../charts/chart82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Relationship Id="rId14" Type="http://schemas.openxmlformats.org/officeDocument/2006/relationships/chart" Target="../charts/chart8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971550</xdr:colOff>
      <xdr:row>0</xdr:row>
      <xdr:rowOff>133350</xdr:rowOff>
    </xdr:from>
    <xdr:to>
      <xdr:col>7</xdr:col>
      <xdr:colOff>371475</xdr:colOff>
      <xdr:row>13</xdr:row>
      <xdr:rowOff>114300</xdr:rowOff>
    </xdr:to>
    <xdr:sp macro="" textlink="">
      <xdr:nvSpPr>
        <xdr:cNvPr id="53249" name="Text Box 1"/>
        <xdr:cNvSpPr txBox="1">
          <a:spLocks noChangeArrowheads="1"/>
        </xdr:cNvSpPr>
      </xdr:nvSpPr>
      <xdr:spPr bwMode="auto">
        <a:xfrm>
          <a:off x="3333750" y="133350"/>
          <a:ext cx="4143375" cy="2085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ONLY CHANGE FIELDS HIGHLIGHTED IN YELLOW!!!!</a:t>
          </a: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Don't Move Cells!!</a:t>
          </a:r>
        </a:p>
        <a:p>
          <a:pPr algn="l" rtl="0">
            <a:defRPr sz="1000"/>
          </a:pPr>
          <a:endParaRPr lang="en-US" sz="14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DON'T CHANGE FILEDS HIGHLIGHTED IN RED!</a:t>
          </a:r>
        </a:p>
        <a:p>
          <a:pPr algn="l" rtl="0">
            <a:defRPr sz="1000"/>
          </a:pPr>
          <a:endParaRPr lang="en-US" sz="14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Shannon Calay</a:t>
          </a: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May 22, 2006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165100</xdr:colOff>
      <xdr:row>52</xdr:row>
      <xdr:rowOff>152401</xdr:rowOff>
    </xdr:from>
    <xdr:to>
      <xdr:col>19</xdr:col>
      <xdr:colOff>533400</xdr:colOff>
      <xdr:row>76</xdr:row>
      <xdr:rowOff>12701</xdr:rowOff>
    </xdr:to>
    <xdr:graphicFrame macro="">
      <xdr:nvGraphicFramePr>
        <xdr:cNvPr id="1741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584200</xdr:colOff>
      <xdr:row>30</xdr:row>
      <xdr:rowOff>0</xdr:rowOff>
    </xdr:from>
    <xdr:to>
      <xdr:col>29</xdr:col>
      <xdr:colOff>495300</xdr:colOff>
      <xdr:row>53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520700</xdr:colOff>
      <xdr:row>6</xdr:row>
      <xdr:rowOff>76200</xdr:rowOff>
    </xdr:from>
    <xdr:to>
      <xdr:col>29</xdr:col>
      <xdr:colOff>482600</xdr:colOff>
      <xdr:row>29</xdr:row>
      <xdr:rowOff>25400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190500</xdr:colOff>
      <xdr:row>6</xdr:row>
      <xdr:rowOff>25400</xdr:rowOff>
    </xdr:from>
    <xdr:to>
      <xdr:col>19</xdr:col>
      <xdr:colOff>533400</xdr:colOff>
      <xdr:row>29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165100</xdr:colOff>
      <xdr:row>29</xdr:row>
      <xdr:rowOff>114300</xdr:rowOff>
    </xdr:from>
    <xdr:to>
      <xdr:col>19</xdr:col>
      <xdr:colOff>508000</xdr:colOff>
      <xdr:row>52</xdr:row>
      <xdr:rowOff>127000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517525</xdr:colOff>
      <xdr:row>4</xdr:row>
      <xdr:rowOff>133350</xdr:rowOff>
    </xdr:from>
    <xdr:to>
      <xdr:col>25</xdr:col>
      <xdr:colOff>317500</xdr:colOff>
      <xdr:row>29</xdr:row>
      <xdr:rowOff>15875</xdr:rowOff>
    </xdr:to>
    <xdr:graphicFrame macro="">
      <xdr:nvGraphicFramePr>
        <xdr:cNvPr id="1844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368300</xdr:colOff>
      <xdr:row>4</xdr:row>
      <xdr:rowOff>127000</xdr:rowOff>
    </xdr:from>
    <xdr:to>
      <xdr:col>15</xdr:col>
      <xdr:colOff>355600</xdr:colOff>
      <xdr:row>30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457200</xdr:colOff>
      <xdr:row>31</xdr:row>
      <xdr:rowOff>152400</xdr:rowOff>
    </xdr:from>
    <xdr:to>
      <xdr:col>15</xdr:col>
      <xdr:colOff>50800</xdr:colOff>
      <xdr:row>55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47</xdr:row>
      <xdr:rowOff>38100</xdr:rowOff>
    </xdr:from>
    <xdr:to>
      <xdr:col>9</xdr:col>
      <xdr:colOff>400050</xdr:colOff>
      <xdr:row>71</xdr:row>
      <xdr:rowOff>76200</xdr:rowOff>
    </xdr:to>
    <xdr:graphicFrame macro="">
      <xdr:nvGraphicFramePr>
        <xdr:cNvPr id="194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409575</xdr:colOff>
      <xdr:row>47</xdr:row>
      <xdr:rowOff>28575</xdr:rowOff>
    </xdr:from>
    <xdr:to>
      <xdr:col>19</xdr:col>
      <xdr:colOff>209550</xdr:colOff>
      <xdr:row>71</xdr:row>
      <xdr:rowOff>76200</xdr:rowOff>
    </xdr:to>
    <xdr:graphicFrame macro="">
      <xdr:nvGraphicFramePr>
        <xdr:cNvPr id="1945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88900</xdr:colOff>
      <xdr:row>3</xdr:row>
      <xdr:rowOff>98425</xdr:rowOff>
    </xdr:from>
    <xdr:to>
      <xdr:col>12</xdr:col>
      <xdr:colOff>533400</xdr:colOff>
      <xdr:row>27</xdr:row>
      <xdr:rowOff>136525</xdr:rowOff>
    </xdr:to>
    <xdr:graphicFrame macro="">
      <xdr:nvGraphicFramePr>
        <xdr:cNvPr id="2048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555625</xdr:colOff>
      <xdr:row>3</xdr:row>
      <xdr:rowOff>111125</xdr:rowOff>
    </xdr:from>
    <xdr:to>
      <xdr:col>21</xdr:col>
      <xdr:colOff>400050</xdr:colOff>
      <xdr:row>27</xdr:row>
      <xdr:rowOff>158750</xdr:rowOff>
    </xdr:to>
    <xdr:graphicFrame macro="">
      <xdr:nvGraphicFramePr>
        <xdr:cNvPr id="2048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46</xdr:row>
      <xdr:rowOff>28575</xdr:rowOff>
    </xdr:from>
    <xdr:to>
      <xdr:col>12</xdr:col>
      <xdr:colOff>533400</xdr:colOff>
      <xdr:row>64</xdr:row>
      <xdr:rowOff>133350</xdr:rowOff>
    </xdr:to>
    <xdr:graphicFrame macro="">
      <xdr:nvGraphicFramePr>
        <xdr:cNvPr id="2151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84</xdr:row>
      <xdr:rowOff>19050</xdr:rowOff>
    </xdr:from>
    <xdr:to>
      <xdr:col>12</xdr:col>
      <xdr:colOff>523875</xdr:colOff>
      <xdr:row>102</xdr:row>
      <xdr:rowOff>104775</xdr:rowOff>
    </xdr:to>
    <xdr:graphicFrame macro="">
      <xdr:nvGraphicFramePr>
        <xdr:cNvPr id="2151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161925</xdr:colOff>
      <xdr:row>65</xdr:row>
      <xdr:rowOff>28575</xdr:rowOff>
    </xdr:from>
    <xdr:to>
      <xdr:col>12</xdr:col>
      <xdr:colOff>533400</xdr:colOff>
      <xdr:row>83</xdr:row>
      <xdr:rowOff>123825</xdr:rowOff>
    </xdr:to>
    <xdr:graphicFrame macro="">
      <xdr:nvGraphicFramePr>
        <xdr:cNvPr id="21538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157843</xdr:colOff>
      <xdr:row>45</xdr:row>
      <xdr:rowOff>151040</xdr:rowOff>
    </xdr:from>
    <xdr:to>
      <xdr:col>18</xdr:col>
      <xdr:colOff>532039</xdr:colOff>
      <xdr:row>64</xdr:row>
      <xdr:rowOff>92529</xdr:rowOff>
    </xdr:to>
    <xdr:graphicFrame macro="">
      <xdr:nvGraphicFramePr>
        <xdr:cNvPr id="21540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144236</xdr:colOff>
      <xdr:row>83</xdr:row>
      <xdr:rowOff>91167</xdr:rowOff>
    </xdr:from>
    <xdr:to>
      <xdr:col>18</xdr:col>
      <xdr:colOff>508907</xdr:colOff>
      <xdr:row>102</xdr:row>
      <xdr:rowOff>13606</xdr:rowOff>
    </xdr:to>
    <xdr:graphicFrame macro="">
      <xdr:nvGraphicFramePr>
        <xdr:cNvPr id="21541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152400</xdr:colOff>
      <xdr:row>64</xdr:row>
      <xdr:rowOff>123825</xdr:rowOff>
    </xdr:from>
    <xdr:to>
      <xdr:col>18</xdr:col>
      <xdr:colOff>523875</xdr:colOff>
      <xdr:row>83</xdr:row>
      <xdr:rowOff>57150</xdr:rowOff>
    </xdr:to>
    <xdr:graphicFrame macro="">
      <xdr:nvGraphicFramePr>
        <xdr:cNvPr id="21542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87086</xdr:colOff>
      <xdr:row>46</xdr:row>
      <xdr:rowOff>6803</xdr:rowOff>
    </xdr:from>
    <xdr:to>
      <xdr:col>24</xdr:col>
      <xdr:colOff>461282</xdr:colOff>
      <xdr:row>64</xdr:row>
      <xdr:rowOff>111578</xdr:rowOff>
    </xdr:to>
    <xdr:graphicFrame macro="">
      <xdr:nvGraphicFramePr>
        <xdr:cNvPr id="21544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114300</xdr:colOff>
      <xdr:row>83</xdr:row>
      <xdr:rowOff>110217</xdr:rowOff>
    </xdr:from>
    <xdr:to>
      <xdr:col>24</xdr:col>
      <xdr:colOff>478971</xdr:colOff>
      <xdr:row>102</xdr:row>
      <xdr:rowOff>32656</xdr:rowOff>
    </xdr:to>
    <xdr:graphicFrame macro="">
      <xdr:nvGraphicFramePr>
        <xdr:cNvPr id="21545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95250</xdr:colOff>
      <xdr:row>64</xdr:row>
      <xdr:rowOff>142875</xdr:rowOff>
    </xdr:from>
    <xdr:to>
      <xdr:col>24</xdr:col>
      <xdr:colOff>466725</xdr:colOff>
      <xdr:row>83</xdr:row>
      <xdr:rowOff>76200</xdr:rowOff>
    </xdr:to>
    <xdr:graphicFrame macro="">
      <xdr:nvGraphicFramePr>
        <xdr:cNvPr id="21546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552450</xdr:colOff>
      <xdr:row>46</xdr:row>
      <xdr:rowOff>2721</xdr:rowOff>
    </xdr:from>
    <xdr:to>
      <xdr:col>30</xdr:col>
      <xdr:colOff>311603</xdr:colOff>
      <xdr:row>64</xdr:row>
      <xdr:rowOff>108856</xdr:rowOff>
    </xdr:to>
    <xdr:graphicFrame macro="">
      <xdr:nvGraphicFramePr>
        <xdr:cNvPr id="21548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579664</xdr:colOff>
      <xdr:row>83</xdr:row>
      <xdr:rowOff>119742</xdr:rowOff>
    </xdr:from>
    <xdr:to>
      <xdr:col>30</xdr:col>
      <xdr:colOff>329292</xdr:colOff>
      <xdr:row>102</xdr:row>
      <xdr:rowOff>42181</xdr:rowOff>
    </xdr:to>
    <xdr:graphicFrame macro="">
      <xdr:nvGraphicFramePr>
        <xdr:cNvPr id="21549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30</xdr:col>
      <xdr:colOff>390525</xdr:colOff>
      <xdr:row>46</xdr:row>
      <xdr:rowOff>19050</xdr:rowOff>
    </xdr:from>
    <xdr:to>
      <xdr:col>36</xdr:col>
      <xdr:colOff>152400</xdr:colOff>
      <xdr:row>64</xdr:row>
      <xdr:rowOff>133350</xdr:rowOff>
    </xdr:to>
    <xdr:graphicFrame macro="">
      <xdr:nvGraphicFramePr>
        <xdr:cNvPr id="21552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409575</xdr:colOff>
      <xdr:row>83</xdr:row>
      <xdr:rowOff>152400</xdr:rowOff>
    </xdr:from>
    <xdr:to>
      <xdr:col>36</xdr:col>
      <xdr:colOff>161925</xdr:colOff>
      <xdr:row>102</xdr:row>
      <xdr:rowOff>66675</xdr:rowOff>
    </xdr:to>
    <xdr:graphicFrame macro="">
      <xdr:nvGraphicFramePr>
        <xdr:cNvPr id="21553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390525</xdr:colOff>
      <xdr:row>65</xdr:row>
      <xdr:rowOff>9525</xdr:rowOff>
    </xdr:from>
    <xdr:to>
      <xdr:col>36</xdr:col>
      <xdr:colOff>152400</xdr:colOff>
      <xdr:row>83</xdr:row>
      <xdr:rowOff>104775</xdr:rowOff>
    </xdr:to>
    <xdr:graphicFrame macro="">
      <xdr:nvGraphicFramePr>
        <xdr:cNvPr id="21554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390525</xdr:colOff>
      <xdr:row>45</xdr:row>
      <xdr:rowOff>133350</xdr:rowOff>
    </xdr:from>
    <xdr:to>
      <xdr:col>42</xdr:col>
      <xdr:colOff>152400</xdr:colOff>
      <xdr:row>64</xdr:row>
      <xdr:rowOff>76200</xdr:rowOff>
    </xdr:to>
    <xdr:graphicFrame macro="">
      <xdr:nvGraphicFramePr>
        <xdr:cNvPr id="21556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36</xdr:col>
      <xdr:colOff>438150</xdr:colOff>
      <xdr:row>84</xdr:row>
      <xdr:rowOff>114300</xdr:rowOff>
    </xdr:from>
    <xdr:to>
      <xdr:col>42</xdr:col>
      <xdr:colOff>190500</xdr:colOff>
      <xdr:row>103</xdr:row>
      <xdr:rowOff>57150</xdr:rowOff>
    </xdr:to>
    <xdr:graphicFrame macro="">
      <xdr:nvGraphicFramePr>
        <xdr:cNvPr id="21557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409575</xdr:colOff>
      <xdr:row>65</xdr:row>
      <xdr:rowOff>66675</xdr:rowOff>
    </xdr:from>
    <xdr:to>
      <xdr:col>42</xdr:col>
      <xdr:colOff>171450</xdr:colOff>
      <xdr:row>84</xdr:row>
      <xdr:rowOff>19050</xdr:rowOff>
    </xdr:to>
    <xdr:graphicFrame macro="">
      <xdr:nvGraphicFramePr>
        <xdr:cNvPr id="21558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42</xdr:col>
      <xdr:colOff>361950</xdr:colOff>
      <xdr:row>46</xdr:row>
      <xdr:rowOff>0</xdr:rowOff>
    </xdr:from>
    <xdr:to>
      <xdr:col>48</xdr:col>
      <xdr:colOff>123825</xdr:colOff>
      <xdr:row>64</xdr:row>
      <xdr:rowOff>85725</xdr:rowOff>
    </xdr:to>
    <xdr:graphicFrame macro="">
      <xdr:nvGraphicFramePr>
        <xdr:cNvPr id="21560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42</xdr:col>
      <xdr:colOff>361950</xdr:colOff>
      <xdr:row>84</xdr:row>
      <xdr:rowOff>123825</xdr:rowOff>
    </xdr:from>
    <xdr:to>
      <xdr:col>48</xdr:col>
      <xdr:colOff>114300</xdr:colOff>
      <xdr:row>103</xdr:row>
      <xdr:rowOff>47625</xdr:rowOff>
    </xdr:to>
    <xdr:graphicFrame macro="">
      <xdr:nvGraphicFramePr>
        <xdr:cNvPr id="21561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42</xdr:col>
      <xdr:colOff>381000</xdr:colOff>
      <xdr:row>65</xdr:row>
      <xdr:rowOff>28575</xdr:rowOff>
    </xdr:from>
    <xdr:to>
      <xdr:col>48</xdr:col>
      <xdr:colOff>142875</xdr:colOff>
      <xdr:row>83</xdr:row>
      <xdr:rowOff>123825</xdr:rowOff>
    </xdr:to>
    <xdr:graphicFrame macro="">
      <xdr:nvGraphicFramePr>
        <xdr:cNvPr id="21562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48</xdr:col>
      <xdr:colOff>304800</xdr:colOff>
      <xdr:row>45</xdr:row>
      <xdr:rowOff>66675</xdr:rowOff>
    </xdr:from>
    <xdr:to>
      <xdr:col>54</xdr:col>
      <xdr:colOff>66675</xdr:colOff>
      <xdr:row>64</xdr:row>
      <xdr:rowOff>9525</xdr:rowOff>
    </xdr:to>
    <xdr:graphicFrame macro="">
      <xdr:nvGraphicFramePr>
        <xdr:cNvPr id="21564" name="Chart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48</xdr:col>
      <xdr:colOff>352425</xdr:colOff>
      <xdr:row>85</xdr:row>
      <xdr:rowOff>47625</xdr:rowOff>
    </xdr:from>
    <xdr:to>
      <xdr:col>54</xdr:col>
      <xdr:colOff>104775</xdr:colOff>
      <xdr:row>103</xdr:row>
      <xdr:rowOff>114300</xdr:rowOff>
    </xdr:to>
    <xdr:graphicFrame macro="">
      <xdr:nvGraphicFramePr>
        <xdr:cNvPr id="21565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48</xdr:col>
      <xdr:colOff>276225</xdr:colOff>
      <xdr:row>65</xdr:row>
      <xdr:rowOff>0</xdr:rowOff>
    </xdr:from>
    <xdr:to>
      <xdr:col>54</xdr:col>
      <xdr:colOff>38100</xdr:colOff>
      <xdr:row>83</xdr:row>
      <xdr:rowOff>95250</xdr:rowOff>
    </xdr:to>
    <xdr:graphicFrame macro="">
      <xdr:nvGraphicFramePr>
        <xdr:cNvPr id="21566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54</xdr:col>
      <xdr:colOff>173181</xdr:colOff>
      <xdr:row>45</xdr:row>
      <xdr:rowOff>105641</xdr:rowOff>
    </xdr:from>
    <xdr:to>
      <xdr:col>59</xdr:col>
      <xdr:colOff>544657</xdr:colOff>
      <xdr:row>64</xdr:row>
      <xdr:rowOff>39832</xdr:rowOff>
    </xdr:to>
    <xdr:graphicFrame macro="">
      <xdr:nvGraphicFramePr>
        <xdr:cNvPr id="21568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54</xdr:col>
      <xdr:colOff>238125</xdr:colOff>
      <xdr:row>85</xdr:row>
      <xdr:rowOff>43296</xdr:rowOff>
    </xdr:from>
    <xdr:to>
      <xdr:col>59</xdr:col>
      <xdr:colOff>600076</xdr:colOff>
      <xdr:row>103</xdr:row>
      <xdr:rowOff>109971</xdr:rowOff>
    </xdr:to>
    <xdr:graphicFrame macro="">
      <xdr:nvGraphicFramePr>
        <xdr:cNvPr id="21569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54</xdr:col>
      <xdr:colOff>144607</xdr:colOff>
      <xdr:row>64</xdr:row>
      <xdr:rowOff>116898</xdr:rowOff>
    </xdr:from>
    <xdr:to>
      <xdr:col>59</xdr:col>
      <xdr:colOff>512619</xdr:colOff>
      <xdr:row>83</xdr:row>
      <xdr:rowOff>69272</xdr:rowOff>
    </xdr:to>
    <xdr:graphicFrame macro="">
      <xdr:nvGraphicFramePr>
        <xdr:cNvPr id="21570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60</xdr:col>
      <xdr:colOff>162791</xdr:colOff>
      <xdr:row>85</xdr:row>
      <xdr:rowOff>50223</xdr:rowOff>
    </xdr:from>
    <xdr:to>
      <xdr:col>65</xdr:col>
      <xdr:colOff>534266</xdr:colOff>
      <xdr:row>103</xdr:row>
      <xdr:rowOff>116898</xdr:rowOff>
    </xdr:to>
    <xdr:graphicFrame macro="">
      <xdr:nvGraphicFramePr>
        <xdr:cNvPr id="21573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60</xdr:col>
      <xdr:colOff>143741</xdr:colOff>
      <xdr:row>64</xdr:row>
      <xdr:rowOff>102177</xdr:rowOff>
    </xdr:from>
    <xdr:to>
      <xdr:col>65</xdr:col>
      <xdr:colOff>502227</xdr:colOff>
      <xdr:row>83</xdr:row>
      <xdr:rowOff>35501</xdr:rowOff>
    </xdr:to>
    <xdr:graphicFrame macro="">
      <xdr:nvGraphicFramePr>
        <xdr:cNvPr id="21574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66</xdr:col>
      <xdr:colOff>71871</xdr:colOff>
      <xdr:row>45</xdr:row>
      <xdr:rowOff>76201</xdr:rowOff>
    </xdr:from>
    <xdr:to>
      <xdr:col>71</xdr:col>
      <xdr:colOff>420832</xdr:colOff>
      <xdr:row>64</xdr:row>
      <xdr:rowOff>28575</xdr:rowOff>
    </xdr:to>
    <xdr:graphicFrame macro="">
      <xdr:nvGraphicFramePr>
        <xdr:cNvPr id="21575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66</xdr:col>
      <xdr:colOff>96116</xdr:colOff>
      <xdr:row>85</xdr:row>
      <xdr:rowOff>25976</xdr:rowOff>
    </xdr:from>
    <xdr:to>
      <xdr:col>71</xdr:col>
      <xdr:colOff>458065</xdr:colOff>
      <xdr:row>103</xdr:row>
      <xdr:rowOff>111702</xdr:rowOff>
    </xdr:to>
    <xdr:graphicFrame macro="">
      <xdr:nvGraphicFramePr>
        <xdr:cNvPr id="21577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66</xdr:col>
      <xdr:colOff>96117</xdr:colOff>
      <xdr:row>65</xdr:row>
      <xdr:rowOff>4329</xdr:rowOff>
    </xdr:from>
    <xdr:to>
      <xdr:col>71</xdr:col>
      <xdr:colOff>454603</xdr:colOff>
      <xdr:row>83</xdr:row>
      <xdr:rowOff>108238</xdr:rowOff>
    </xdr:to>
    <xdr:graphicFrame macro="">
      <xdr:nvGraphicFramePr>
        <xdr:cNvPr id="21578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71</xdr:col>
      <xdr:colOff>555913</xdr:colOff>
      <xdr:row>45</xdr:row>
      <xdr:rowOff>114300</xdr:rowOff>
    </xdr:from>
    <xdr:to>
      <xdr:col>77</xdr:col>
      <xdr:colOff>311727</xdr:colOff>
      <xdr:row>64</xdr:row>
      <xdr:rowOff>47624</xdr:rowOff>
    </xdr:to>
    <xdr:graphicFrame macro="">
      <xdr:nvGraphicFramePr>
        <xdr:cNvPr id="21581" name="Chart 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71</xdr:col>
      <xdr:colOff>596611</xdr:colOff>
      <xdr:row>85</xdr:row>
      <xdr:rowOff>31172</xdr:rowOff>
    </xdr:from>
    <xdr:to>
      <xdr:col>77</xdr:col>
      <xdr:colOff>352425</xdr:colOff>
      <xdr:row>103</xdr:row>
      <xdr:rowOff>97848</xdr:rowOff>
    </xdr:to>
    <xdr:graphicFrame macro="">
      <xdr:nvGraphicFramePr>
        <xdr:cNvPr id="21583" name="Chart 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71</xdr:col>
      <xdr:colOff>555914</xdr:colOff>
      <xdr:row>65</xdr:row>
      <xdr:rowOff>47625</xdr:rowOff>
    </xdr:from>
    <xdr:to>
      <xdr:col>77</xdr:col>
      <xdr:colOff>321253</xdr:colOff>
      <xdr:row>84</xdr:row>
      <xdr:rowOff>0</xdr:rowOff>
    </xdr:to>
    <xdr:graphicFrame macro="">
      <xdr:nvGraphicFramePr>
        <xdr:cNvPr id="21584" name="Chart 8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77</xdr:col>
      <xdr:colOff>397452</xdr:colOff>
      <xdr:row>45</xdr:row>
      <xdr:rowOff>100445</xdr:rowOff>
    </xdr:from>
    <xdr:to>
      <xdr:col>83</xdr:col>
      <xdr:colOff>159328</xdr:colOff>
      <xdr:row>64</xdr:row>
      <xdr:rowOff>62345</xdr:rowOff>
    </xdr:to>
    <xdr:graphicFrame macro="">
      <xdr:nvGraphicFramePr>
        <xdr:cNvPr id="21586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77</xdr:col>
      <xdr:colOff>419099</xdr:colOff>
      <xdr:row>85</xdr:row>
      <xdr:rowOff>57150</xdr:rowOff>
    </xdr:from>
    <xdr:to>
      <xdr:col>83</xdr:col>
      <xdr:colOff>171450</xdr:colOff>
      <xdr:row>103</xdr:row>
      <xdr:rowOff>123825</xdr:rowOff>
    </xdr:to>
    <xdr:graphicFrame macro="">
      <xdr:nvGraphicFramePr>
        <xdr:cNvPr id="21587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77</xdr:col>
      <xdr:colOff>420832</xdr:colOff>
      <xdr:row>65</xdr:row>
      <xdr:rowOff>96116</xdr:rowOff>
    </xdr:from>
    <xdr:to>
      <xdr:col>83</xdr:col>
      <xdr:colOff>195695</xdr:colOff>
      <xdr:row>84</xdr:row>
      <xdr:rowOff>20781</xdr:rowOff>
    </xdr:to>
    <xdr:graphicFrame macro="">
      <xdr:nvGraphicFramePr>
        <xdr:cNvPr id="21588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83</xdr:col>
      <xdr:colOff>238991</xdr:colOff>
      <xdr:row>45</xdr:row>
      <xdr:rowOff>77932</xdr:rowOff>
    </xdr:from>
    <xdr:to>
      <xdr:col>89</xdr:col>
      <xdr:colOff>866</xdr:colOff>
      <xdr:row>64</xdr:row>
      <xdr:rowOff>20782</xdr:rowOff>
    </xdr:to>
    <xdr:graphicFrame macro="">
      <xdr:nvGraphicFramePr>
        <xdr:cNvPr id="21590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83</xdr:col>
      <xdr:colOff>260639</xdr:colOff>
      <xdr:row>85</xdr:row>
      <xdr:rowOff>58882</xdr:rowOff>
    </xdr:from>
    <xdr:to>
      <xdr:col>89</xdr:col>
      <xdr:colOff>12989</xdr:colOff>
      <xdr:row>103</xdr:row>
      <xdr:rowOff>134217</xdr:rowOff>
    </xdr:to>
    <xdr:graphicFrame macro="">
      <xdr:nvGraphicFramePr>
        <xdr:cNvPr id="21591" name="Chart 8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83</xdr:col>
      <xdr:colOff>253711</xdr:colOff>
      <xdr:row>65</xdr:row>
      <xdr:rowOff>76200</xdr:rowOff>
    </xdr:from>
    <xdr:to>
      <xdr:col>89</xdr:col>
      <xdr:colOff>15587</xdr:colOff>
      <xdr:row>84</xdr:row>
      <xdr:rowOff>9525</xdr:rowOff>
    </xdr:to>
    <xdr:graphicFrame macro="">
      <xdr:nvGraphicFramePr>
        <xdr:cNvPr id="21592" name="Chart 8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89</xdr:col>
      <xdr:colOff>113434</xdr:colOff>
      <xdr:row>45</xdr:row>
      <xdr:rowOff>130752</xdr:rowOff>
    </xdr:from>
    <xdr:to>
      <xdr:col>94</xdr:col>
      <xdr:colOff>481445</xdr:colOff>
      <xdr:row>64</xdr:row>
      <xdr:rowOff>73602</xdr:rowOff>
    </xdr:to>
    <xdr:graphicFrame macro="">
      <xdr:nvGraphicFramePr>
        <xdr:cNvPr id="21594" name="Chart 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89</xdr:col>
      <xdr:colOff>135082</xdr:colOff>
      <xdr:row>85</xdr:row>
      <xdr:rowOff>68407</xdr:rowOff>
    </xdr:from>
    <xdr:to>
      <xdr:col>94</xdr:col>
      <xdr:colOff>493568</xdr:colOff>
      <xdr:row>103</xdr:row>
      <xdr:rowOff>143742</xdr:rowOff>
    </xdr:to>
    <xdr:graphicFrame macro="">
      <xdr:nvGraphicFramePr>
        <xdr:cNvPr id="21595" name="Chart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89</xdr:col>
      <xdr:colOff>81395</xdr:colOff>
      <xdr:row>65</xdr:row>
      <xdr:rowOff>107373</xdr:rowOff>
    </xdr:from>
    <xdr:to>
      <xdr:col>94</xdr:col>
      <xdr:colOff>452870</xdr:colOff>
      <xdr:row>84</xdr:row>
      <xdr:rowOff>40698</xdr:rowOff>
    </xdr:to>
    <xdr:graphicFrame macro="">
      <xdr:nvGraphicFramePr>
        <xdr:cNvPr id="21596" name="Chart 9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94</xdr:col>
      <xdr:colOff>589684</xdr:colOff>
      <xdr:row>46</xdr:row>
      <xdr:rowOff>6928</xdr:rowOff>
    </xdr:from>
    <xdr:to>
      <xdr:col>100</xdr:col>
      <xdr:colOff>351559</xdr:colOff>
      <xdr:row>64</xdr:row>
      <xdr:rowOff>111703</xdr:rowOff>
    </xdr:to>
    <xdr:graphicFrame macro="">
      <xdr:nvGraphicFramePr>
        <xdr:cNvPr id="21598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95</xdr:col>
      <xdr:colOff>26842</xdr:colOff>
      <xdr:row>85</xdr:row>
      <xdr:rowOff>52820</xdr:rowOff>
    </xdr:from>
    <xdr:to>
      <xdr:col>100</xdr:col>
      <xdr:colOff>385329</xdr:colOff>
      <xdr:row>103</xdr:row>
      <xdr:rowOff>138546</xdr:rowOff>
    </xdr:to>
    <xdr:graphicFrame macro="">
      <xdr:nvGraphicFramePr>
        <xdr:cNvPr id="21599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94</xdr:col>
      <xdr:colOff>579292</xdr:colOff>
      <xdr:row>65</xdr:row>
      <xdr:rowOff>80530</xdr:rowOff>
    </xdr:from>
    <xdr:to>
      <xdr:col>100</xdr:col>
      <xdr:colOff>344631</xdr:colOff>
      <xdr:row>84</xdr:row>
      <xdr:rowOff>13855</xdr:rowOff>
    </xdr:to>
    <xdr:graphicFrame macro="">
      <xdr:nvGraphicFramePr>
        <xdr:cNvPr id="21600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100</xdr:col>
      <xdr:colOff>568037</xdr:colOff>
      <xdr:row>45</xdr:row>
      <xdr:rowOff>151533</xdr:rowOff>
    </xdr:from>
    <xdr:to>
      <xdr:col>106</xdr:col>
      <xdr:colOff>329911</xdr:colOff>
      <xdr:row>64</xdr:row>
      <xdr:rowOff>104774</xdr:rowOff>
    </xdr:to>
    <xdr:graphicFrame macro="">
      <xdr:nvGraphicFramePr>
        <xdr:cNvPr id="21602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100</xdr:col>
      <xdr:colOff>589685</xdr:colOff>
      <xdr:row>85</xdr:row>
      <xdr:rowOff>77930</xdr:rowOff>
    </xdr:from>
    <xdr:to>
      <xdr:col>106</xdr:col>
      <xdr:colOff>342034</xdr:colOff>
      <xdr:row>104</xdr:row>
      <xdr:rowOff>1731</xdr:rowOff>
    </xdr:to>
    <xdr:graphicFrame macro="">
      <xdr:nvGraphicFramePr>
        <xdr:cNvPr id="21603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100</xdr:col>
      <xdr:colOff>535998</xdr:colOff>
      <xdr:row>66</xdr:row>
      <xdr:rowOff>30307</xdr:rowOff>
    </xdr:from>
    <xdr:to>
      <xdr:col>106</xdr:col>
      <xdr:colOff>301336</xdr:colOff>
      <xdr:row>84</xdr:row>
      <xdr:rowOff>115166</xdr:rowOff>
    </xdr:to>
    <xdr:graphicFrame macro="">
      <xdr:nvGraphicFramePr>
        <xdr:cNvPr id="21604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106</xdr:col>
      <xdr:colOff>497897</xdr:colOff>
      <xdr:row>46</xdr:row>
      <xdr:rowOff>25110</xdr:rowOff>
    </xdr:from>
    <xdr:to>
      <xdr:col>112</xdr:col>
      <xdr:colOff>259772</xdr:colOff>
      <xdr:row>64</xdr:row>
      <xdr:rowOff>119494</xdr:rowOff>
    </xdr:to>
    <xdr:graphicFrame macro="">
      <xdr:nvGraphicFramePr>
        <xdr:cNvPr id="21606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106</xdr:col>
      <xdr:colOff>541193</xdr:colOff>
      <xdr:row>85</xdr:row>
      <xdr:rowOff>71003</xdr:rowOff>
    </xdr:from>
    <xdr:to>
      <xdr:col>112</xdr:col>
      <xdr:colOff>297007</xdr:colOff>
      <xdr:row>103</xdr:row>
      <xdr:rowOff>146338</xdr:rowOff>
    </xdr:to>
    <xdr:graphicFrame macro="">
      <xdr:nvGraphicFramePr>
        <xdr:cNvPr id="21607" name="Chart 1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106</xdr:col>
      <xdr:colOff>490971</xdr:colOff>
      <xdr:row>66</xdr:row>
      <xdr:rowOff>23379</xdr:rowOff>
    </xdr:from>
    <xdr:to>
      <xdr:col>112</xdr:col>
      <xdr:colOff>252846</xdr:colOff>
      <xdr:row>84</xdr:row>
      <xdr:rowOff>108238</xdr:rowOff>
    </xdr:to>
    <xdr:graphicFrame macro="">
      <xdr:nvGraphicFramePr>
        <xdr:cNvPr id="21608" name="Chart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112</xdr:col>
      <xdr:colOff>426892</xdr:colOff>
      <xdr:row>85</xdr:row>
      <xdr:rowOff>116897</xdr:rowOff>
    </xdr:from>
    <xdr:to>
      <xdr:col>118</xdr:col>
      <xdr:colOff>179243</xdr:colOff>
      <xdr:row>104</xdr:row>
      <xdr:rowOff>40698</xdr:rowOff>
    </xdr:to>
    <xdr:graphicFrame macro="">
      <xdr:nvGraphicFramePr>
        <xdr:cNvPr id="21611" name="Chart 1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112</xdr:col>
      <xdr:colOff>398318</xdr:colOff>
      <xdr:row>66</xdr:row>
      <xdr:rowOff>47624</xdr:rowOff>
    </xdr:from>
    <xdr:to>
      <xdr:col>118</xdr:col>
      <xdr:colOff>160193</xdr:colOff>
      <xdr:row>84</xdr:row>
      <xdr:rowOff>142874</xdr:rowOff>
    </xdr:to>
    <xdr:graphicFrame macro="">
      <xdr:nvGraphicFramePr>
        <xdr:cNvPr id="21612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118</xdr:col>
      <xdr:colOff>294409</xdr:colOff>
      <xdr:row>46</xdr:row>
      <xdr:rowOff>65809</xdr:rowOff>
    </xdr:from>
    <xdr:to>
      <xdr:col>124</xdr:col>
      <xdr:colOff>59748</xdr:colOff>
      <xdr:row>65</xdr:row>
      <xdr:rowOff>8659</xdr:rowOff>
    </xdr:to>
    <xdr:graphicFrame macro="">
      <xdr:nvGraphicFramePr>
        <xdr:cNvPr id="21614" name="Chart 1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118</xdr:col>
      <xdr:colOff>337705</xdr:colOff>
      <xdr:row>85</xdr:row>
      <xdr:rowOff>111702</xdr:rowOff>
    </xdr:from>
    <xdr:to>
      <xdr:col>124</xdr:col>
      <xdr:colOff>93519</xdr:colOff>
      <xdr:row>104</xdr:row>
      <xdr:rowOff>35503</xdr:rowOff>
    </xdr:to>
    <xdr:graphicFrame macro="">
      <xdr:nvGraphicFramePr>
        <xdr:cNvPr id="21615" name="Chart 1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118</xdr:col>
      <xdr:colOff>352425</xdr:colOff>
      <xdr:row>66</xdr:row>
      <xdr:rowOff>85725</xdr:rowOff>
    </xdr:from>
    <xdr:to>
      <xdr:col>124</xdr:col>
      <xdr:colOff>114300</xdr:colOff>
      <xdr:row>85</xdr:row>
      <xdr:rowOff>19050</xdr:rowOff>
    </xdr:to>
    <xdr:graphicFrame macro="">
      <xdr:nvGraphicFramePr>
        <xdr:cNvPr id="21616" name="Chart 1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60</xdr:col>
      <xdr:colOff>173182</xdr:colOff>
      <xdr:row>45</xdr:row>
      <xdr:rowOff>108239</xdr:rowOff>
    </xdr:from>
    <xdr:to>
      <xdr:col>65</xdr:col>
      <xdr:colOff>544657</xdr:colOff>
      <xdr:row>64</xdr:row>
      <xdr:rowOff>42430</xdr:rowOff>
    </xdr:to>
    <xdr:graphicFrame macro="">
      <xdr:nvGraphicFramePr>
        <xdr:cNvPr id="82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112</xdr:col>
      <xdr:colOff>349250</xdr:colOff>
      <xdr:row>46</xdr:row>
      <xdr:rowOff>15875</xdr:rowOff>
    </xdr:from>
    <xdr:to>
      <xdr:col>118</xdr:col>
      <xdr:colOff>149225</xdr:colOff>
      <xdr:row>65</xdr:row>
      <xdr:rowOff>7299</xdr:rowOff>
    </xdr:to>
    <xdr:graphicFrame macro="">
      <xdr:nvGraphicFramePr>
        <xdr:cNvPr id="63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24</xdr:col>
      <xdr:colOff>444500</xdr:colOff>
      <xdr:row>65</xdr:row>
      <xdr:rowOff>31750</xdr:rowOff>
    </xdr:from>
    <xdr:to>
      <xdr:col>30</xdr:col>
      <xdr:colOff>390525</xdr:colOff>
      <xdr:row>84</xdr:row>
      <xdr:rowOff>26760</xdr:rowOff>
    </xdr:to>
    <xdr:graphicFrame macro="">
      <xdr:nvGraphicFramePr>
        <xdr:cNvPr id="64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0</xdr:rowOff>
    </xdr:from>
    <xdr:to>
      <xdr:col>14</xdr:col>
      <xdr:colOff>304800</xdr:colOff>
      <xdr:row>22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14</xdr:col>
      <xdr:colOff>304800</xdr:colOff>
      <xdr:row>39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22</xdr:col>
      <xdr:colOff>304800</xdr:colOff>
      <xdr:row>39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6</xdr:row>
      <xdr:rowOff>0</xdr:rowOff>
    </xdr:from>
    <xdr:to>
      <xdr:col>22</xdr:col>
      <xdr:colOff>304800</xdr:colOff>
      <xdr:row>22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40</xdr:row>
      <xdr:rowOff>0</xdr:rowOff>
    </xdr:from>
    <xdr:to>
      <xdr:col>14</xdr:col>
      <xdr:colOff>304800</xdr:colOff>
      <xdr:row>56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40</xdr:row>
      <xdr:rowOff>0</xdr:rowOff>
    </xdr:from>
    <xdr:to>
      <xdr:col>22</xdr:col>
      <xdr:colOff>304800</xdr:colOff>
      <xdr:row>56</xdr:row>
      <xdr:rowOff>152400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57</xdr:row>
      <xdr:rowOff>0</xdr:rowOff>
    </xdr:from>
    <xdr:to>
      <xdr:col>14</xdr:col>
      <xdr:colOff>304800</xdr:colOff>
      <xdr:row>73</xdr:row>
      <xdr:rowOff>152400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57</xdr:row>
      <xdr:rowOff>0</xdr:rowOff>
    </xdr:from>
    <xdr:to>
      <xdr:col>22</xdr:col>
      <xdr:colOff>304800</xdr:colOff>
      <xdr:row>73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0</xdr:colOff>
      <xdr:row>74</xdr:row>
      <xdr:rowOff>0</xdr:rowOff>
    </xdr:from>
    <xdr:to>
      <xdr:col>14</xdr:col>
      <xdr:colOff>304800</xdr:colOff>
      <xdr:row>90</xdr:row>
      <xdr:rowOff>152400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74</xdr:row>
      <xdr:rowOff>0</xdr:rowOff>
    </xdr:from>
    <xdr:to>
      <xdr:col>22</xdr:col>
      <xdr:colOff>304800</xdr:colOff>
      <xdr:row>90</xdr:row>
      <xdr:rowOff>152400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91</xdr:row>
      <xdr:rowOff>0</xdr:rowOff>
    </xdr:from>
    <xdr:to>
      <xdr:col>14</xdr:col>
      <xdr:colOff>304800</xdr:colOff>
      <xdr:row>107</xdr:row>
      <xdr:rowOff>152400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108</xdr:row>
      <xdr:rowOff>0</xdr:rowOff>
    </xdr:from>
    <xdr:to>
      <xdr:col>14</xdr:col>
      <xdr:colOff>304800</xdr:colOff>
      <xdr:row>124</xdr:row>
      <xdr:rowOff>152400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108</xdr:row>
      <xdr:rowOff>0</xdr:rowOff>
    </xdr:from>
    <xdr:to>
      <xdr:col>22</xdr:col>
      <xdr:colOff>304800</xdr:colOff>
      <xdr:row>124</xdr:row>
      <xdr:rowOff>152400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0</xdr:colOff>
      <xdr:row>125</xdr:row>
      <xdr:rowOff>0</xdr:rowOff>
    </xdr:from>
    <xdr:to>
      <xdr:col>14</xdr:col>
      <xdr:colOff>304800</xdr:colOff>
      <xdr:row>141</xdr:row>
      <xdr:rowOff>152400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125</xdr:row>
      <xdr:rowOff>0</xdr:rowOff>
    </xdr:from>
    <xdr:to>
      <xdr:col>22</xdr:col>
      <xdr:colOff>304800</xdr:colOff>
      <xdr:row>141</xdr:row>
      <xdr:rowOff>152400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0</xdr:colOff>
      <xdr:row>91</xdr:row>
      <xdr:rowOff>0</xdr:rowOff>
    </xdr:from>
    <xdr:to>
      <xdr:col>22</xdr:col>
      <xdr:colOff>304800</xdr:colOff>
      <xdr:row>107</xdr:row>
      <xdr:rowOff>152400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E5:G13"/>
  <sheetViews>
    <sheetView workbookViewId="0">
      <selection activeCell="B2" sqref="B2"/>
    </sheetView>
  </sheetViews>
  <sheetFormatPr defaultRowHeight="12.75"/>
  <sheetData>
    <row r="5" spans="5:7" ht="15.75">
      <c r="E5" s="4" t="s">
        <v>60</v>
      </c>
    </row>
    <row r="13" spans="5:7" ht="18">
      <c r="G13" s="3"/>
    </row>
  </sheetData>
  <phoneticPr fontId="1" type="noConversion"/>
  <pageMargins left="0.75" right="0.75" top="1" bottom="1" header="0.5" footer="0.5"/>
  <pageSetup paperSize="170" orientation="portrait" r:id="rId1"/>
  <headerFooter alignWithMargins="0"/>
  <legacyDrawing r:id="rId2"/>
  <controls>
    <control shapeId="6149" r:id="rId3" name="LoadVBA2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5"/>
  <dimension ref="A1:J57"/>
  <sheetViews>
    <sheetView workbookViewId="0">
      <selection activeCell="C7" sqref="C7"/>
    </sheetView>
  </sheetViews>
  <sheetFormatPr defaultRowHeight="12.75"/>
  <cols>
    <col min="1" max="1" width="19.140625" customWidth="1"/>
    <col min="2" max="2" width="16.28515625" customWidth="1"/>
    <col min="3" max="3" width="15.140625" customWidth="1"/>
    <col min="4" max="4" width="5.5703125" customWidth="1"/>
    <col min="5" max="5" width="16.7109375" customWidth="1"/>
    <col min="6" max="6" width="17" customWidth="1"/>
    <col min="7" max="7" width="16.7109375" customWidth="1"/>
    <col min="9" max="9" width="16.85546875" customWidth="1"/>
    <col min="10" max="10" width="19.7109375" customWidth="1"/>
  </cols>
  <sheetData>
    <row r="1" spans="1:10">
      <c r="A1" s="6" t="s">
        <v>47</v>
      </c>
      <c r="B1" s="1">
        <v>1970</v>
      </c>
    </row>
    <row r="2" spans="1:10">
      <c r="A2" s="6" t="s">
        <v>1</v>
      </c>
      <c r="B2" s="1">
        <v>2006</v>
      </c>
    </row>
    <row r="3" spans="1:10">
      <c r="A3" s="6" t="s">
        <v>48</v>
      </c>
      <c r="B3" s="5">
        <f>B2-B1+1</f>
        <v>37</v>
      </c>
    </row>
    <row r="4" spans="1:10">
      <c r="A4" s="6"/>
    </row>
    <row r="5" spans="1:10">
      <c r="A5" s="6" t="s">
        <v>49</v>
      </c>
      <c r="B5" s="1">
        <v>0</v>
      </c>
    </row>
    <row r="6" spans="1:10">
      <c r="A6" s="6" t="s">
        <v>50</v>
      </c>
      <c r="B6" s="1">
        <v>5</v>
      </c>
    </row>
    <row r="7" spans="1:10">
      <c r="A7" s="6" t="s">
        <v>51</v>
      </c>
      <c r="B7" s="1">
        <v>5</v>
      </c>
      <c r="I7" s="2" t="s">
        <v>52</v>
      </c>
    </row>
    <row r="8" spans="1:10">
      <c r="A8" s="6"/>
      <c r="I8" s="5" t="str">
        <f>$B$11</f>
        <v>ATL</v>
      </c>
      <c r="J8" s="1" t="s">
        <v>53</v>
      </c>
    </row>
    <row r="9" spans="1:10">
      <c r="A9" s="6" t="s">
        <v>67</v>
      </c>
      <c r="B9" s="1">
        <v>1</v>
      </c>
      <c r="I9" s="5" t="str">
        <f>$B$11</f>
        <v>ATL</v>
      </c>
      <c r="J9" s="1" t="s">
        <v>57</v>
      </c>
    </row>
    <row r="10" spans="1:10">
      <c r="A10" s="6" t="s">
        <v>41</v>
      </c>
      <c r="I10" s="5" t="str">
        <f t="shared" ref="I10:I15" si="0">$B$11</f>
        <v>ATL</v>
      </c>
      <c r="J10" s="1" t="s">
        <v>54</v>
      </c>
    </row>
    <row r="11" spans="1:10">
      <c r="A11" s="6" t="s">
        <v>42</v>
      </c>
      <c r="B11" s="11" t="s">
        <v>93</v>
      </c>
      <c r="I11" s="5" t="str">
        <f t="shared" si="0"/>
        <v>ATL</v>
      </c>
      <c r="J11" s="1" t="s">
        <v>58</v>
      </c>
    </row>
    <row r="12" spans="1:10">
      <c r="A12" s="6" t="s">
        <v>43</v>
      </c>
      <c r="B12" s="1"/>
      <c r="I12" s="5" t="str">
        <f t="shared" si="0"/>
        <v>ATL</v>
      </c>
      <c r="J12" s="1" t="s">
        <v>55</v>
      </c>
    </row>
    <row r="13" spans="1:10">
      <c r="A13" s="6"/>
      <c r="I13" s="5" t="str">
        <f t="shared" si="0"/>
        <v>ATL</v>
      </c>
      <c r="J13" s="1" t="s">
        <v>59</v>
      </c>
    </row>
    <row r="14" spans="1:10">
      <c r="A14" s="6" t="s">
        <v>44</v>
      </c>
      <c r="I14" s="5" t="str">
        <f t="shared" si="0"/>
        <v>ATL</v>
      </c>
      <c r="J14" s="1" t="s">
        <v>37</v>
      </c>
    </row>
    <row r="15" spans="1:10">
      <c r="A15" t="s">
        <v>45</v>
      </c>
      <c r="B15" t="s">
        <v>3</v>
      </c>
      <c r="C15" t="s">
        <v>46</v>
      </c>
      <c r="E15" t="s">
        <v>45</v>
      </c>
      <c r="F15" t="s">
        <v>3</v>
      </c>
      <c r="G15" t="s">
        <v>46</v>
      </c>
      <c r="I15" s="5" t="str">
        <f t="shared" si="0"/>
        <v>ATL</v>
      </c>
      <c r="J15" s="1" t="s">
        <v>56</v>
      </c>
    </row>
    <row r="16" spans="1:10">
      <c r="A16">
        <v>1</v>
      </c>
      <c r="B16" s="5" t="str">
        <f>$B$11</f>
        <v>ATL</v>
      </c>
      <c r="C16" s="10" t="s">
        <v>77</v>
      </c>
      <c r="E16">
        <f>A16</f>
        <v>1</v>
      </c>
      <c r="F16" s="5"/>
      <c r="G16" s="1"/>
      <c r="I16" s="5"/>
      <c r="J16" s="1"/>
    </row>
    <row r="17" spans="1:10">
      <c r="A17">
        <v>2</v>
      </c>
      <c r="B17" s="5" t="str">
        <f t="shared" ref="B17:B35" si="1">$B$11</f>
        <v>ATL</v>
      </c>
      <c r="C17" s="10" t="s">
        <v>76</v>
      </c>
      <c r="E17">
        <f t="shared" ref="E17:E35" si="2">A17</f>
        <v>2</v>
      </c>
      <c r="F17" s="5"/>
      <c r="G17" s="1"/>
      <c r="I17" s="5" t="str">
        <f>IF($B$9=1,"NONE",$B$12)</f>
        <v>NONE</v>
      </c>
      <c r="J17" s="1" t="s">
        <v>53</v>
      </c>
    </row>
    <row r="18" spans="1:10">
      <c r="A18">
        <v>3</v>
      </c>
      <c r="B18" s="5" t="str">
        <f t="shared" si="1"/>
        <v>ATL</v>
      </c>
      <c r="C18" s="10" t="s">
        <v>78</v>
      </c>
      <c r="E18">
        <f t="shared" si="2"/>
        <v>3</v>
      </c>
      <c r="F18" s="5"/>
      <c r="G18" s="1"/>
      <c r="I18" s="5" t="str">
        <f t="shared" ref="I18:I24" si="3">IF($B$9=1,"NONE",$B$12)</f>
        <v>NONE</v>
      </c>
      <c r="J18" s="1" t="s">
        <v>57</v>
      </c>
    </row>
    <row r="19" spans="1:10">
      <c r="A19">
        <v>4</v>
      </c>
      <c r="B19" s="5" t="str">
        <f t="shared" si="1"/>
        <v>ATL</v>
      </c>
      <c r="C19" s="10" t="s">
        <v>79</v>
      </c>
      <c r="E19">
        <f t="shared" si="2"/>
        <v>4</v>
      </c>
      <c r="F19" s="5"/>
      <c r="G19" s="1"/>
      <c r="I19" s="5" t="str">
        <f t="shared" si="3"/>
        <v>NONE</v>
      </c>
      <c r="J19" s="1" t="s">
        <v>54</v>
      </c>
    </row>
    <row r="20" spans="1:10">
      <c r="A20">
        <v>5</v>
      </c>
      <c r="B20" s="5" t="str">
        <f t="shared" si="1"/>
        <v>ATL</v>
      </c>
      <c r="C20" s="10" t="s">
        <v>80</v>
      </c>
      <c r="E20">
        <f t="shared" si="2"/>
        <v>5</v>
      </c>
      <c r="F20" s="5"/>
      <c r="G20" s="1"/>
      <c r="I20" s="5" t="str">
        <f t="shared" si="3"/>
        <v>NONE</v>
      </c>
      <c r="J20" s="1" t="s">
        <v>58</v>
      </c>
    </row>
    <row r="21" spans="1:10">
      <c r="A21">
        <v>6</v>
      </c>
      <c r="B21" s="5" t="str">
        <f t="shared" si="1"/>
        <v>ATL</v>
      </c>
      <c r="C21" s="10" t="s">
        <v>81</v>
      </c>
      <c r="E21">
        <f t="shared" si="2"/>
        <v>6</v>
      </c>
      <c r="F21" s="5"/>
      <c r="G21" s="1"/>
      <c r="I21" s="5" t="str">
        <f t="shared" si="3"/>
        <v>NONE</v>
      </c>
      <c r="J21" s="1" t="s">
        <v>55</v>
      </c>
    </row>
    <row r="22" spans="1:10">
      <c r="A22">
        <v>7</v>
      </c>
      <c r="B22" s="5" t="str">
        <f t="shared" si="1"/>
        <v>ATL</v>
      </c>
      <c r="C22" s="10" t="s">
        <v>82</v>
      </c>
      <c r="E22">
        <f t="shared" si="2"/>
        <v>7</v>
      </c>
      <c r="F22" s="5"/>
      <c r="G22" s="1"/>
      <c r="I22" s="5" t="str">
        <f t="shared" si="3"/>
        <v>NONE</v>
      </c>
      <c r="J22" s="1" t="s">
        <v>59</v>
      </c>
    </row>
    <row r="23" spans="1:10">
      <c r="A23">
        <v>8</v>
      </c>
      <c r="B23" s="5" t="str">
        <f t="shared" si="1"/>
        <v>ATL</v>
      </c>
      <c r="C23" s="10" t="s">
        <v>83</v>
      </c>
      <c r="E23">
        <f t="shared" si="2"/>
        <v>8</v>
      </c>
      <c r="F23" s="5"/>
      <c r="G23" s="1"/>
      <c r="I23" s="5" t="str">
        <f t="shared" si="3"/>
        <v>NONE</v>
      </c>
      <c r="J23" s="1" t="s">
        <v>37</v>
      </c>
    </row>
    <row r="24" spans="1:10">
      <c r="A24">
        <v>9</v>
      </c>
      <c r="B24" s="5" t="str">
        <f t="shared" si="1"/>
        <v>ATL</v>
      </c>
      <c r="C24" s="10" t="s">
        <v>84</v>
      </c>
      <c r="E24">
        <f t="shared" si="2"/>
        <v>9</v>
      </c>
      <c r="F24" s="5"/>
      <c r="G24" s="1"/>
      <c r="I24" s="5" t="str">
        <f t="shared" si="3"/>
        <v>NONE</v>
      </c>
      <c r="J24" s="1" t="s">
        <v>56</v>
      </c>
    </row>
    <row r="25" spans="1:10">
      <c r="A25">
        <v>10</v>
      </c>
      <c r="B25" s="5" t="str">
        <f t="shared" si="1"/>
        <v>ATL</v>
      </c>
      <c r="C25" s="10" t="s">
        <v>85</v>
      </c>
      <c r="E25">
        <f t="shared" si="2"/>
        <v>10</v>
      </c>
      <c r="F25" s="5"/>
      <c r="G25" s="1"/>
    </row>
    <row r="26" spans="1:10">
      <c r="A26">
        <v>11</v>
      </c>
      <c r="B26" s="5" t="str">
        <f t="shared" si="1"/>
        <v>ATL</v>
      </c>
      <c r="C26" s="10" t="s">
        <v>86</v>
      </c>
      <c r="E26">
        <f t="shared" si="2"/>
        <v>11</v>
      </c>
      <c r="F26" s="5"/>
      <c r="G26" s="1"/>
      <c r="J26" s="5" t="s">
        <v>62</v>
      </c>
    </row>
    <row r="27" spans="1:10">
      <c r="A27">
        <v>12</v>
      </c>
      <c r="B27" s="5" t="str">
        <f t="shared" si="1"/>
        <v>ATL</v>
      </c>
      <c r="C27" s="10" t="s">
        <v>87</v>
      </c>
      <c r="E27">
        <f t="shared" si="2"/>
        <v>12</v>
      </c>
      <c r="F27" s="5"/>
      <c r="G27" s="1"/>
      <c r="J27" s="5" t="s">
        <v>63</v>
      </c>
    </row>
    <row r="28" spans="1:10">
      <c r="A28">
        <v>13</v>
      </c>
      <c r="B28" s="5" t="str">
        <f t="shared" si="1"/>
        <v>ATL</v>
      </c>
      <c r="C28" s="10" t="s">
        <v>88</v>
      </c>
      <c r="E28">
        <f t="shared" si="2"/>
        <v>13</v>
      </c>
      <c r="F28" s="5"/>
      <c r="G28" s="1"/>
      <c r="J28" s="5" t="s">
        <v>64</v>
      </c>
    </row>
    <row r="29" spans="1:10">
      <c r="A29">
        <v>14</v>
      </c>
      <c r="B29" s="5" t="str">
        <f t="shared" si="1"/>
        <v>ATL</v>
      </c>
      <c r="C29" s="10" t="s">
        <v>89</v>
      </c>
      <c r="E29">
        <f t="shared" si="2"/>
        <v>14</v>
      </c>
      <c r="F29" s="5"/>
      <c r="G29" s="1"/>
      <c r="J29" s="5" t="s">
        <v>65</v>
      </c>
    </row>
    <row r="30" spans="1:10">
      <c r="A30">
        <v>15</v>
      </c>
      <c r="B30" s="5" t="str">
        <f t="shared" si="1"/>
        <v>ATL</v>
      </c>
      <c r="C30" s="10" t="s">
        <v>90</v>
      </c>
      <c r="E30">
        <f t="shared" si="2"/>
        <v>15</v>
      </c>
      <c r="F30" s="5"/>
      <c r="G30" s="1"/>
      <c r="J30" s="5" t="s">
        <v>66</v>
      </c>
    </row>
    <row r="31" spans="1:10">
      <c r="A31">
        <v>16</v>
      </c>
      <c r="B31" s="5" t="str">
        <f t="shared" si="1"/>
        <v>ATL</v>
      </c>
      <c r="C31" s="10" t="s">
        <v>91</v>
      </c>
      <c r="E31">
        <f t="shared" si="2"/>
        <v>16</v>
      </c>
      <c r="F31" s="5"/>
      <c r="G31" s="1"/>
    </row>
    <row r="32" spans="1:10">
      <c r="A32">
        <v>17</v>
      </c>
      <c r="B32" s="5" t="str">
        <f t="shared" si="1"/>
        <v>ATL</v>
      </c>
      <c r="C32" s="10" t="s">
        <v>92</v>
      </c>
      <c r="E32">
        <f t="shared" si="2"/>
        <v>17</v>
      </c>
      <c r="F32" s="5"/>
      <c r="G32" s="1"/>
    </row>
    <row r="33" spans="1:8">
      <c r="A33">
        <v>18</v>
      </c>
      <c r="B33" s="5" t="str">
        <f t="shared" si="1"/>
        <v>ATL</v>
      </c>
      <c r="C33" s="10" t="s">
        <v>92</v>
      </c>
      <c r="E33">
        <f t="shared" si="2"/>
        <v>18</v>
      </c>
      <c r="F33" s="5"/>
      <c r="G33" s="1"/>
    </row>
    <row r="34" spans="1:8">
      <c r="A34">
        <v>19</v>
      </c>
      <c r="B34" s="5" t="str">
        <f t="shared" si="1"/>
        <v>ATL</v>
      </c>
      <c r="C34" s="10" t="s">
        <v>92</v>
      </c>
      <c r="E34">
        <f t="shared" si="2"/>
        <v>19</v>
      </c>
      <c r="F34" s="5"/>
      <c r="G34" s="1"/>
    </row>
    <row r="35" spans="1:8">
      <c r="A35">
        <v>20</v>
      </c>
      <c r="B35" s="5" t="str">
        <f t="shared" si="1"/>
        <v>ATL</v>
      </c>
      <c r="C35" s="10" t="s">
        <v>92</v>
      </c>
      <c r="E35">
        <f t="shared" si="2"/>
        <v>20</v>
      </c>
      <c r="F35" s="5"/>
      <c r="G35" s="1"/>
    </row>
    <row r="38" spans="1:8" ht="13.5">
      <c r="A38" s="7"/>
      <c r="B38" s="7"/>
      <c r="C38" s="7"/>
      <c r="D38" s="7"/>
      <c r="E38" s="7"/>
      <c r="F38" s="7"/>
      <c r="G38" s="7"/>
      <c r="H38" s="7"/>
    </row>
    <row r="39" spans="1:8" ht="13.5">
      <c r="A39" s="7"/>
      <c r="B39" s="7"/>
      <c r="C39" s="7"/>
      <c r="D39" s="7"/>
      <c r="E39" s="7"/>
      <c r="F39" s="7"/>
      <c r="G39" s="7"/>
      <c r="H39" s="7"/>
    </row>
    <row r="40" spans="1:8" ht="13.5">
      <c r="A40" s="7"/>
      <c r="B40" s="7"/>
      <c r="C40" s="7"/>
      <c r="D40" s="7"/>
      <c r="E40" s="7"/>
      <c r="F40" s="7"/>
      <c r="G40" s="7"/>
      <c r="H40" s="7"/>
    </row>
    <row r="41" spans="1:8" ht="13.5">
      <c r="A41" s="7"/>
      <c r="B41" s="7"/>
      <c r="C41" s="7"/>
      <c r="D41" s="7"/>
      <c r="E41" s="7"/>
      <c r="F41" s="7"/>
      <c r="G41" s="7"/>
      <c r="H41" s="7"/>
    </row>
    <row r="42" spans="1:8" ht="13.5">
      <c r="A42" s="7"/>
      <c r="B42" s="7"/>
      <c r="C42" s="7"/>
      <c r="D42" s="7"/>
      <c r="E42" s="7"/>
      <c r="F42" s="7"/>
      <c r="G42" s="7"/>
      <c r="H42" s="7"/>
    </row>
    <row r="43" spans="1:8" ht="13.5">
      <c r="A43" s="7"/>
      <c r="B43" s="7"/>
      <c r="C43" s="7"/>
      <c r="D43" s="7"/>
      <c r="E43" s="7"/>
      <c r="F43" s="7"/>
      <c r="G43" s="7"/>
      <c r="H43" s="7"/>
    </row>
    <row r="44" spans="1:8" ht="13.5">
      <c r="A44" s="7"/>
      <c r="B44" s="7"/>
      <c r="C44" s="7"/>
      <c r="D44" s="7"/>
      <c r="E44" s="7"/>
      <c r="F44" s="7"/>
      <c r="G44" s="7"/>
      <c r="H44" s="7"/>
    </row>
    <row r="45" spans="1:8" ht="13.5">
      <c r="A45" s="7"/>
      <c r="B45" s="7"/>
      <c r="C45" s="7"/>
      <c r="D45" s="7"/>
      <c r="E45" s="7"/>
      <c r="F45" s="7"/>
      <c r="G45" s="7"/>
      <c r="H45" s="7"/>
    </row>
    <row r="46" spans="1:8" ht="13.5">
      <c r="A46" s="7"/>
      <c r="B46" s="7"/>
      <c r="C46" s="7"/>
      <c r="D46" s="7"/>
      <c r="E46" s="7"/>
      <c r="F46" s="7"/>
      <c r="G46" s="7"/>
      <c r="H46" s="7"/>
    </row>
    <row r="47" spans="1:8" ht="13.5">
      <c r="A47" s="7"/>
      <c r="B47" s="7"/>
      <c r="C47" s="7"/>
      <c r="D47" s="7"/>
      <c r="E47" s="7"/>
      <c r="F47" s="7"/>
      <c r="G47" s="7"/>
      <c r="H47" s="7"/>
    </row>
    <row r="48" spans="1:8" ht="13.5">
      <c r="A48" s="7"/>
      <c r="B48" s="7"/>
      <c r="C48" s="7"/>
      <c r="D48" s="7"/>
      <c r="E48" s="7"/>
      <c r="F48" s="7"/>
      <c r="G48" s="7"/>
      <c r="H48" s="7"/>
    </row>
    <row r="49" spans="1:8" ht="13.5">
      <c r="A49" s="7"/>
      <c r="B49" s="7"/>
      <c r="C49" s="7"/>
      <c r="D49" s="7"/>
      <c r="E49" s="7"/>
      <c r="F49" s="7"/>
      <c r="G49" s="7"/>
      <c r="H49" s="7"/>
    </row>
    <row r="50" spans="1:8" ht="13.5">
      <c r="A50" s="7"/>
      <c r="B50" s="7"/>
      <c r="C50" s="7"/>
      <c r="D50" s="7"/>
      <c r="E50" s="7"/>
      <c r="F50" s="7"/>
      <c r="G50" s="7"/>
      <c r="H50" s="7"/>
    </row>
    <row r="51" spans="1:8" ht="13.5">
      <c r="A51" s="7"/>
      <c r="B51" s="7"/>
      <c r="C51" s="7"/>
      <c r="D51" s="7"/>
      <c r="E51" s="7"/>
      <c r="F51" s="7"/>
      <c r="G51" s="7"/>
      <c r="H51" s="7"/>
    </row>
    <row r="52" spans="1:8" ht="13.5">
      <c r="A52" s="7"/>
      <c r="B52" s="7"/>
      <c r="C52" s="7"/>
      <c r="D52" s="7"/>
      <c r="E52" s="7"/>
      <c r="F52" s="7"/>
      <c r="G52" s="7"/>
      <c r="H52" s="7"/>
    </row>
    <row r="53" spans="1:8" ht="13.5">
      <c r="A53" s="7"/>
      <c r="B53" s="7"/>
      <c r="C53" s="7"/>
      <c r="D53" s="7"/>
      <c r="E53" s="7"/>
      <c r="F53" s="7"/>
      <c r="G53" s="7"/>
      <c r="H53" s="7"/>
    </row>
    <row r="54" spans="1:8" ht="13.5">
      <c r="A54" s="7"/>
      <c r="B54" s="7"/>
      <c r="C54" s="7"/>
      <c r="D54" s="7"/>
      <c r="E54" s="7"/>
      <c r="F54" s="7"/>
      <c r="G54" s="7"/>
      <c r="H54" s="7"/>
    </row>
    <row r="55" spans="1:8" ht="13.5">
      <c r="A55" s="7"/>
      <c r="B55" s="7"/>
      <c r="C55" s="7"/>
      <c r="D55" s="7"/>
      <c r="E55" s="7"/>
      <c r="F55" s="7"/>
      <c r="G55" s="7"/>
      <c r="H55" s="7"/>
    </row>
    <row r="56" spans="1:8" ht="13.5">
      <c r="A56" s="7"/>
    </row>
    <row r="57" spans="1:8">
      <c r="H57" s="8"/>
    </row>
  </sheetData>
  <phoneticPr fontId="1" type="noConversion"/>
  <pageMargins left="0.75" right="0.75" top="1" bottom="1" header="0.5" footer="0.5"/>
  <pageSetup paperSize="1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AI100"/>
  <sheetViews>
    <sheetView topLeftCell="A34" zoomScale="75" workbookViewId="0">
      <selection activeCell="H12" sqref="H12"/>
    </sheetView>
  </sheetViews>
  <sheetFormatPr defaultRowHeight="12.75"/>
  <cols>
    <col min="1" max="1" width="19.28515625" customWidth="1"/>
  </cols>
  <sheetData>
    <row r="1" spans="1:35">
      <c r="A1" s="6" t="s">
        <v>96</v>
      </c>
      <c r="B1">
        <f>GEOMEAN(B37:B40)</f>
        <v>0.15647665623091658</v>
      </c>
      <c r="C1">
        <f t="shared" ref="C1:G1" si="0">GEOMEAN(C37:C40)</f>
        <v>0.46335828776366511</v>
      </c>
      <c r="D1">
        <f t="shared" si="0"/>
        <v>0.27962623896277672</v>
      </c>
      <c r="E1">
        <f t="shared" si="0"/>
        <v>0.52111845195809303</v>
      </c>
      <c r="F1">
        <f t="shared" si="0"/>
        <v>1.1380245695089861</v>
      </c>
      <c r="G1">
        <f t="shared" si="0"/>
        <v>0.54881247419603074</v>
      </c>
    </row>
    <row r="2" spans="1:35">
      <c r="A2" t="s">
        <v>2</v>
      </c>
      <c r="D2" t="s">
        <v>3</v>
      </c>
      <c r="E2">
        <v>1</v>
      </c>
    </row>
    <row r="3" spans="1:35">
      <c r="A3" s="6" t="s">
        <v>0</v>
      </c>
      <c r="B3" s="6" t="s">
        <v>95</v>
      </c>
      <c r="C3" s="6" t="s">
        <v>4</v>
      </c>
      <c r="D3" s="6" t="s">
        <v>5</v>
      </c>
      <c r="E3" s="6" t="s">
        <v>6</v>
      </c>
      <c r="F3" s="6" t="s">
        <v>7</v>
      </c>
      <c r="G3" s="6" t="s">
        <v>8</v>
      </c>
      <c r="H3" s="6" t="s">
        <v>9</v>
      </c>
      <c r="I3" s="6" t="s">
        <v>10</v>
      </c>
      <c r="J3" s="6" t="s">
        <v>11</v>
      </c>
      <c r="K3" s="6" t="s">
        <v>12</v>
      </c>
      <c r="L3" s="6" t="s">
        <v>13</v>
      </c>
      <c r="M3" s="6" t="s">
        <v>94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6" t="s">
        <v>20</v>
      </c>
      <c r="U3" s="6" t="s">
        <v>21</v>
      </c>
      <c r="V3" s="6" t="s">
        <v>22</v>
      </c>
      <c r="W3" s="6" t="s">
        <v>23</v>
      </c>
      <c r="X3" s="6" t="s">
        <v>24</v>
      </c>
      <c r="Y3" s="6" t="s">
        <v>25</v>
      </c>
      <c r="Z3" s="6" t="s">
        <v>26</v>
      </c>
      <c r="AA3" s="6" t="s">
        <v>27</v>
      </c>
      <c r="AB3" s="6" t="s">
        <v>28</v>
      </c>
      <c r="AC3" s="6" t="s">
        <v>29</v>
      </c>
      <c r="AD3" s="6" t="s">
        <v>30</v>
      </c>
      <c r="AE3" s="6" t="s">
        <v>31</v>
      </c>
      <c r="AF3" t="s">
        <v>38</v>
      </c>
      <c r="AG3" s="6" t="s">
        <v>74</v>
      </c>
      <c r="AH3" s="6" t="s">
        <v>123</v>
      </c>
      <c r="AI3" s="6" t="s">
        <v>124</v>
      </c>
    </row>
    <row r="4" spans="1:35">
      <c r="A4">
        <v>1970</v>
      </c>
      <c r="B4">
        <v>1.2E-2</v>
      </c>
      <c r="C4">
        <v>0.182</v>
      </c>
      <c r="D4">
        <v>0.17</v>
      </c>
      <c r="E4">
        <v>0.375</v>
      </c>
      <c r="F4">
        <v>0.59899999999999998</v>
      </c>
      <c r="G4">
        <v>0.28899999999999998</v>
      </c>
      <c r="AF4">
        <f>IF(B4&gt;0,MAX(B4:AE4),"")</f>
        <v>0.59899999999999998</v>
      </c>
      <c r="AG4" s="9">
        <f>G4/F4</f>
        <v>0.48247078464106841</v>
      </c>
      <c r="AH4">
        <f>AVERAGE(B4:D4)</f>
        <v>0.12133333333333333</v>
      </c>
      <c r="AI4">
        <f>AVERAGE(E4:G4)</f>
        <v>0.42099999999999999</v>
      </c>
    </row>
    <row r="5" spans="1:35">
      <c r="A5">
        <v>1971</v>
      </c>
      <c r="B5">
        <v>1.0999999999999999E-2</v>
      </c>
      <c r="C5">
        <v>0.156</v>
      </c>
      <c r="D5">
        <v>0.26800000000000002</v>
      </c>
      <c r="E5">
        <v>0.30499999999999999</v>
      </c>
      <c r="F5">
        <v>0.46700000000000003</v>
      </c>
      <c r="G5">
        <v>0.22500000000000001</v>
      </c>
      <c r="AF5">
        <f t="shared" ref="AF5:AF68" si="1">IF(B5&gt;0,MAX(B5:AE5),"")</f>
        <v>0.46700000000000003</v>
      </c>
      <c r="AG5" s="9">
        <f t="shared" ref="AG5:AG40" si="2">G5/F5</f>
        <v>0.4817987152034261</v>
      </c>
      <c r="AH5">
        <f t="shared" ref="AH5:AH40" si="3">AVERAGE(B5:D5)</f>
        <v>0.14500000000000002</v>
      </c>
      <c r="AI5">
        <f t="shared" ref="AI5:AI40" si="4">AVERAGE(E5:G5)</f>
        <v>0.33233333333333331</v>
      </c>
    </row>
    <row r="6" spans="1:35">
      <c r="A6">
        <v>1972</v>
      </c>
      <c r="B6">
        <v>1.4E-2</v>
      </c>
      <c r="C6">
        <v>0.157</v>
      </c>
      <c r="D6">
        <v>0.3</v>
      </c>
      <c r="E6">
        <v>0.41499999999999998</v>
      </c>
      <c r="F6">
        <v>0.499</v>
      </c>
      <c r="G6">
        <v>0.24099999999999999</v>
      </c>
      <c r="AF6">
        <f t="shared" si="1"/>
        <v>0.499</v>
      </c>
      <c r="AG6" s="9">
        <f t="shared" si="2"/>
        <v>0.48296593186372744</v>
      </c>
      <c r="AH6">
        <f t="shared" si="3"/>
        <v>0.157</v>
      </c>
      <c r="AI6">
        <f t="shared" si="4"/>
        <v>0.38499999999999995</v>
      </c>
    </row>
    <row r="7" spans="1:35">
      <c r="A7">
        <v>1973</v>
      </c>
      <c r="B7">
        <v>8.0000000000000002E-3</v>
      </c>
      <c r="C7">
        <v>0.13800000000000001</v>
      </c>
      <c r="D7">
        <v>0.23699999999999999</v>
      </c>
      <c r="E7">
        <v>0.42299999999999999</v>
      </c>
      <c r="F7">
        <v>0.57599999999999996</v>
      </c>
      <c r="G7">
        <v>0.27800000000000002</v>
      </c>
      <c r="AF7">
        <f t="shared" si="1"/>
        <v>0.57599999999999996</v>
      </c>
      <c r="AG7" s="9">
        <f t="shared" si="2"/>
        <v>0.48263888888888895</v>
      </c>
      <c r="AH7">
        <f t="shared" si="3"/>
        <v>0.12766666666666668</v>
      </c>
      <c r="AI7">
        <f t="shared" si="4"/>
        <v>0.42566666666666664</v>
      </c>
    </row>
    <row r="8" spans="1:35">
      <c r="A8">
        <v>1974</v>
      </c>
      <c r="B8">
        <v>2.9000000000000001E-2</v>
      </c>
      <c r="C8">
        <v>0.20300000000000001</v>
      </c>
      <c r="D8">
        <v>0.27700000000000002</v>
      </c>
      <c r="E8">
        <v>0.42599999999999999</v>
      </c>
      <c r="F8">
        <v>0.63700000000000001</v>
      </c>
      <c r="G8">
        <v>0.307</v>
      </c>
      <c r="AF8">
        <f t="shared" si="1"/>
        <v>0.63700000000000001</v>
      </c>
      <c r="AG8" s="9">
        <f t="shared" si="2"/>
        <v>0.48194662480376765</v>
      </c>
      <c r="AH8">
        <f t="shared" si="3"/>
        <v>0.16966666666666666</v>
      </c>
      <c r="AI8">
        <f t="shared" si="4"/>
        <v>0.45666666666666661</v>
      </c>
    </row>
    <row r="9" spans="1:35">
      <c r="A9">
        <v>1975</v>
      </c>
      <c r="B9">
        <v>4.8000000000000001E-2</v>
      </c>
      <c r="C9">
        <v>0.22600000000000001</v>
      </c>
      <c r="D9">
        <v>0.376</v>
      </c>
      <c r="E9">
        <v>0.47899999999999998</v>
      </c>
      <c r="F9">
        <v>0.999</v>
      </c>
      <c r="G9">
        <v>0.48199999999999998</v>
      </c>
      <c r="AF9">
        <f t="shared" si="1"/>
        <v>0.999</v>
      </c>
      <c r="AG9" s="9">
        <f t="shared" si="2"/>
        <v>0.48248248248248249</v>
      </c>
      <c r="AH9">
        <f t="shared" si="3"/>
        <v>0.21666666666666667</v>
      </c>
      <c r="AI9">
        <f t="shared" si="4"/>
        <v>0.65333333333333332</v>
      </c>
    </row>
    <row r="10" spans="1:35">
      <c r="A10">
        <v>1976</v>
      </c>
      <c r="B10">
        <v>5.1999999999999998E-2</v>
      </c>
      <c r="C10">
        <v>0.23799999999999999</v>
      </c>
      <c r="D10">
        <v>0.29499999999999998</v>
      </c>
      <c r="E10">
        <v>0.53800000000000003</v>
      </c>
      <c r="F10">
        <v>1.2190000000000001</v>
      </c>
      <c r="G10">
        <v>0.58799999999999997</v>
      </c>
      <c r="AF10">
        <f t="shared" si="1"/>
        <v>1.2190000000000001</v>
      </c>
      <c r="AG10" s="9">
        <f t="shared" si="2"/>
        <v>0.48236259228876122</v>
      </c>
      <c r="AH10">
        <f t="shared" si="3"/>
        <v>0.19499999999999998</v>
      </c>
      <c r="AI10">
        <f t="shared" si="4"/>
        <v>0.78166666666666673</v>
      </c>
    </row>
    <row r="11" spans="1:35">
      <c r="A11">
        <v>1977</v>
      </c>
      <c r="B11">
        <v>3.9E-2</v>
      </c>
      <c r="C11">
        <v>0.247</v>
      </c>
      <c r="D11">
        <v>0.29899999999999999</v>
      </c>
      <c r="E11">
        <v>0.56499999999999995</v>
      </c>
      <c r="F11">
        <v>1.3080000000000001</v>
      </c>
      <c r="G11">
        <v>0.63100000000000001</v>
      </c>
      <c r="AF11">
        <f t="shared" si="1"/>
        <v>1.3080000000000001</v>
      </c>
      <c r="AG11" s="9">
        <f t="shared" si="2"/>
        <v>0.48241590214067276</v>
      </c>
      <c r="AH11">
        <f t="shared" si="3"/>
        <v>0.19499999999999998</v>
      </c>
      <c r="AI11">
        <f t="shared" si="4"/>
        <v>0.83466666666666667</v>
      </c>
    </row>
    <row r="12" spans="1:35">
      <c r="A12">
        <v>1978</v>
      </c>
      <c r="B12">
        <v>4.4999999999999998E-2</v>
      </c>
      <c r="C12">
        <v>0.24399999999999999</v>
      </c>
      <c r="D12">
        <v>0.32300000000000001</v>
      </c>
      <c r="E12">
        <v>0.54900000000000004</v>
      </c>
      <c r="F12">
        <v>0.96399999999999997</v>
      </c>
      <c r="G12">
        <v>0.46500000000000002</v>
      </c>
      <c r="AF12">
        <f t="shared" si="1"/>
        <v>0.96399999999999997</v>
      </c>
      <c r="AG12" s="9">
        <f t="shared" si="2"/>
        <v>0.48236514522821583</v>
      </c>
      <c r="AH12">
        <f t="shared" si="3"/>
        <v>0.20399999999999999</v>
      </c>
      <c r="AI12">
        <f t="shared" si="4"/>
        <v>0.65933333333333333</v>
      </c>
    </row>
    <row r="13" spans="1:35">
      <c r="A13">
        <v>1979</v>
      </c>
      <c r="B13">
        <v>5.3999999999999999E-2</v>
      </c>
      <c r="C13">
        <v>0.27300000000000002</v>
      </c>
      <c r="D13">
        <v>0.17199999999999999</v>
      </c>
      <c r="E13">
        <v>0.51900000000000002</v>
      </c>
      <c r="F13">
        <v>0.94</v>
      </c>
      <c r="G13">
        <v>0.45300000000000001</v>
      </c>
      <c r="AF13">
        <f t="shared" si="1"/>
        <v>0.94</v>
      </c>
      <c r="AG13" s="9">
        <f t="shared" si="2"/>
        <v>0.48191489361702133</v>
      </c>
      <c r="AH13">
        <f t="shared" si="3"/>
        <v>0.16633333333333333</v>
      </c>
      <c r="AI13">
        <f t="shared" si="4"/>
        <v>0.63733333333333342</v>
      </c>
    </row>
    <row r="14" spans="1:35">
      <c r="A14">
        <v>1980</v>
      </c>
      <c r="B14">
        <v>9.9000000000000005E-2</v>
      </c>
      <c r="C14">
        <v>0.27700000000000002</v>
      </c>
      <c r="D14">
        <v>0.23899999999999999</v>
      </c>
      <c r="E14">
        <v>0.39</v>
      </c>
      <c r="F14">
        <v>0.82599999999999996</v>
      </c>
      <c r="G14">
        <v>0.39800000000000002</v>
      </c>
      <c r="AF14">
        <f t="shared" si="1"/>
        <v>0.82599999999999996</v>
      </c>
      <c r="AG14" s="9">
        <f t="shared" si="2"/>
        <v>0.48184019370460052</v>
      </c>
      <c r="AH14">
        <f t="shared" si="3"/>
        <v>0.20499999999999999</v>
      </c>
      <c r="AI14">
        <f t="shared" si="4"/>
        <v>0.53799999999999992</v>
      </c>
    </row>
    <row r="15" spans="1:35">
      <c r="A15">
        <v>1981</v>
      </c>
      <c r="B15">
        <v>0.14699999999999999</v>
      </c>
      <c r="C15">
        <v>0.34</v>
      </c>
      <c r="D15">
        <v>0.27600000000000002</v>
      </c>
      <c r="E15">
        <v>0.44800000000000001</v>
      </c>
      <c r="F15">
        <v>1.1919999999999999</v>
      </c>
      <c r="G15">
        <v>0.57499999999999996</v>
      </c>
      <c r="AF15">
        <f t="shared" si="1"/>
        <v>1.1919999999999999</v>
      </c>
      <c r="AG15" s="9">
        <f t="shared" si="2"/>
        <v>0.48238255033557043</v>
      </c>
      <c r="AH15">
        <f t="shared" si="3"/>
        <v>0.25433333333333336</v>
      </c>
      <c r="AI15">
        <f t="shared" si="4"/>
        <v>0.73833333333333329</v>
      </c>
    </row>
    <row r="16" spans="1:35">
      <c r="A16">
        <v>1982</v>
      </c>
      <c r="B16">
        <v>6.8000000000000005E-2</v>
      </c>
      <c r="C16">
        <v>0.42799999999999999</v>
      </c>
      <c r="D16">
        <v>0.33100000000000002</v>
      </c>
      <c r="E16">
        <v>0.628</v>
      </c>
      <c r="F16">
        <v>1.4079999999999999</v>
      </c>
      <c r="G16">
        <v>0.67900000000000005</v>
      </c>
      <c r="AF16">
        <f t="shared" si="1"/>
        <v>1.4079999999999999</v>
      </c>
      <c r="AG16" s="9">
        <f t="shared" si="2"/>
        <v>0.48224431818181823</v>
      </c>
      <c r="AH16">
        <f t="shared" si="3"/>
        <v>0.27566666666666667</v>
      </c>
      <c r="AI16">
        <f t="shared" si="4"/>
        <v>0.90499999999999992</v>
      </c>
    </row>
    <row r="17" spans="1:35">
      <c r="A17">
        <v>1983</v>
      </c>
      <c r="B17">
        <v>8.5999999999999993E-2</v>
      </c>
      <c r="C17">
        <v>0.31900000000000001</v>
      </c>
      <c r="D17">
        <v>0.318</v>
      </c>
      <c r="E17">
        <v>1.038</v>
      </c>
      <c r="F17">
        <v>2.0379999999999998</v>
      </c>
      <c r="G17">
        <v>0.98299999999999998</v>
      </c>
      <c r="AF17">
        <f t="shared" si="1"/>
        <v>2.0379999999999998</v>
      </c>
      <c r="AG17" s="9">
        <f t="shared" si="2"/>
        <v>0.48233562315996076</v>
      </c>
      <c r="AH17">
        <f t="shared" si="3"/>
        <v>0.24100000000000002</v>
      </c>
      <c r="AI17">
        <f t="shared" si="4"/>
        <v>1.3529999999999998</v>
      </c>
    </row>
    <row r="18" spans="1:35">
      <c r="A18">
        <v>1984</v>
      </c>
      <c r="B18">
        <v>7.4999999999999997E-2</v>
      </c>
      <c r="C18">
        <v>0.38100000000000001</v>
      </c>
      <c r="D18">
        <v>0.38500000000000001</v>
      </c>
      <c r="E18">
        <v>0.42699999999999999</v>
      </c>
      <c r="F18">
        <v>0.79700000000000004</v>
      </c>
      <c r="G18">
        <v>0.38500000000000001</v>
      </c>
      <c r="AF18">
        <f t="shared" si="1"/>
        <v>0.79700000000000004</v>
      </c>
      <c r="AG18" s="9">
        <f t="shared" si="2"/>
        <v>0.48306148055207027</v>
      </c>
      <c r="AH18">
        <f t="shared" si="3"/>
        <v>0.28033333333333332</v>
      </c>
      <c r="AI18">
        <f t="shared" si="4"/>
        <v>0.53633333333333333</v>
      </c>
    </row>
    <row r="19" spans="1:35">
      <c r="A19">
        <v>1985</v>
      </c>
      <c r="B19">
        <v>8.5000000000000006E-2</v>
      </c>
      <c r="C19">
        <v>0.28399999999999997</v>
      </c>
      <c r="D19">
        <v>0.34699999999999998</v>
      </c>
      <c r="E19">
        <v>0.53800000000000003</v>
      </c>
      <c r="F19">
        <v>1.5580000000000001</v>
      </c>
      <c r="G19">
        <v>0.751</v>
      </c>
      <c r="AF19">
        <f t="shared" si="1"/>
        <v>1.5580000000000001</v>
      </c>
      <c r="AG19" s="9">
        <f t="shared" si="2"/>
        <v>0.4820282413350449</v>
      </c>
      <c r="AH19">
        <f t="shared" si="3"/>
        <v>0.23866666666666667</v>
      </c>
      <c r="AI19">
        <f t="shared" si="4"/>
        <v>0.94899999999999995</v>
      </c>
    </row>
    <row r="20" spans="1:35">
      <c r="A20">
        <v>1986</v>
      </c>
      <c r="B20">
        <v>8.1000000000000003E-2</v>
      </c>
      <c r="C20">
        <v>0.224</v>
      </c>
      <c r="D20">
        <v>0.23699999999999999</v>
      </c>
      <c r="E20">
        <v>0.63600000000000001</v>
      </c>
      <c r="F20">
        <v>1.4410000000000001</v>
      </c>
      <c r="G20">
        <v>0.69499999999999995</v>
      </c>
      <c r="AF20">
        <f t="shared" si="1"/>
        <v>1.4410000000000001</v>
      </c>
      <c r="AG20" s="9">
        <f t="shared" si="2"/>
        <v>0.48230395558639827</v>
      </c>
      <c r="AH20">
        <f t="shared" si="3"/>
        <v>0.18066666666666667</v>
      </c>
      <c r="AI20">
        <f t="shared" si="4"/>
        <v>0.92399999999999993</v>
      </c>
    </row>
    <row r="21" spans="1:35">
      <c r="A21">
        <v>1987</v>
      </c>
      <c r="B21">
        <v>0.13800000000000001</v>
      </c>
      <c r="C21">
        <v>0.24399999999999999</v>
      </c>
      <c r="D21">
        <v>0.19600000000000001</v>
      </c>
      <c r="E21">
        <v>0.49199999999999999</v>
      </c>
      <c r="F21">
        <v>1.4039999999999999</v>
      </c>
      <c r="G21">
        <v>0.67700000000000005</v>
      </c>
      <c r="AF21">
        <f t="shared" si="1"/>
        <v>1.4039999999999999</v>
      </c>
      <c r="AG21" s="9">
        <f t="shared" si="2"/>
        <v>0.48219373219373224</v>
      </c>
      <c r="AH21">
        <f t="shared" si="3"/>
        <v>0.19266666666666668</v>
      </c>
      <c r="AI21">
        <f t="shared" si="4"/>
        <v>0.85766666666666669</v>
      </c>
    </row>
    <row r="22" spans="1:35">
      <c r="A22">
        <v>1988</v>
      </c>
      <c r="B22">
        <v>0.129</v>
      </c>
      <c r="C22">
        <v>0.30099999999999999</v>
      </c>
      <c r="D22">
        <v>0.16200000000000001</v>
      </c>
      <c r="E22">
        <v>0.433</v>
      </c>
      <c r="F22">
        <v>0.73499999999999999</v>
      </c>
      <c r="G22">
        <v>0.35399999999999998</v>
      </c>
      <c r="AF22">
        <f t="shared" si="1"/>
        <v>0.73499999999999999</v>
      </c>
      <c r="AG22" s="9">
        <f t="shared" si="2"/>
        <v>0.48163265306122449</v>
      </c>
      <c r="AH22">
        <f t="shared" si="3"/>
        <v>0.19733333333333333</v>
      </c>
      <c r="AI22">
        <f t="shared" si="4"/>
        <v>0.5073333333333333</v>
      </c>
    </row>
    <row r="23" spans="1:35">
      <c r="A23">
        <v>1989</v>
      </c>
      <c r="B23">
        <v>0.126</v>
      </c>
      <c r="C23">
        <v>0.28699999999999998</v>
      </c>
      <c r="D23">
        <v>0.14699999999999999</v>
      </c>
      <c r="E23">
        <v>0.41</v>
      </c>
      <c r="F23">
        <v>1.093</v>
      </c>
      <c r="G23">
        <v>0.52700000000000002</v>
      </c>
      <c r="AF23">
        <f t="shared" si="1"/>
        <v>1.093</v>
      </c>
      <c r="AG23" s="9">
        <f t="shared" si="2"/>
        <v>0.48215919487648679</v>
      </c>
      <c r="AH23">
        <f t="shared" si="3"/>
        <v>0.18666666666666665</v>
      </c>
      <c r="AI23">
        <f t="shared" si="4"/>
        <v>0.67666666666666664</v>
      </c>
    </row>
    <row r="24" spans="1:35">
      <c r="A24">
        <v>1990</v>
      </c>
      <c r="B24">
        <v>0.14799999999999999</v>
      </c>
      <c r="C24">
        <v>0.35499999999999998</v>
      </c>
      <c r="D24">
        <v>0.17599999999999999</v>
      </c>
      <c r="E24">
        <v>0.52</v>
      </c>
      <c r="F24">
        <v>1.446</v>
      </c>
      <c r="G24">
        <v>0.69799999999999995</v>
      </c>
      <c r="AF24">
        <f t="shared" si="1"/>
        <v>1.446</v>
      </c>
      <c r="AG24" s="9">
        <f t="shared" si="2"/>
        <v>0.48271092669432919</v>
      </c>
      <c r="AH24">
        <f t="shared" si="3"/>
        <v>0.22633333333333336</v>
      </c>
      <c r="AI24">
        <f t="shared" si="4"/>
        <v>0.8879999999999999</v>
      </c>
    </row>
    <row r="25" spans="1:35">
      <c r="A25">
        <v>1991</v>
      </c>
      <c r="B25">
        <v>0.14399999999999999</v>
      </c>
      <c r="C25">
        <v>0.33200000000000002</v>
      </c>
      <c r="D25">
        <v>0.19400000000000001</v>
      </c>
      <c r="E25">
        <v>0.497</v>
      </c>
      <c r="F25">
        <v>1.331</v>
      </c>
      <c r="G25">
        <v>0.64200000000000002</v>
      </c>
      <c r="AF25">
        <f t="shared" si="1"/>
        <v>1.331</v>
      </c>
      <c r="AG25" s="9">
        <f t="shared" si="2"/>
        <v>0.48234410217881296</v>
      </c>
      <c r="AH25">
        <f t="shared" si="3"/>
        <v>0.2233333333333333</v>
      </c>
      <c r="AI25">
        <f t="shared" si="4"/>
        <v>0.82333333333333325</v>
      </c>
    </row>
    <row r="26" spans="1:35">
      <c r="A26">
        <v>1992</v>
      </c>
      <c r="B26">
        <v>0.13</v>
      </c>
      <c r="C26">
        <v>0.318</v>
      </c>
      <c r="D26">
        <v>0.20100000000000001</v>
      </c>
      <c r="E26">
        <v>0.54400000000000004</v>
      </c>
      <c r="F26">
        <v>1.5409999999999999</v>
      </c>
      <c r="G26">
        <v>0.74299999999999999</v>
      </c>
      <c r="AF26">
        <f t="shared" si="1"/>
        <v>1.5409999999999999</v>
      </c>
      <c r="AG26" s="9">
        <f t="shared" si="2"/>
        <v>0.48215444516547701</v>
      </c>
      <c r="AH26">
        <f t="shared" si="3"/>
        <v>0.21633333333333335</v>
      </c>
      <c r="AI26">
        <f t="shared" si="4"/>
        <v>0.94266666666666665</v>
      </c>
    </row>
    <row r="27" spans="1:35">
      <c r="A27">
        <v>1993</v>
      </c>
      <c r="B27">
        <v>0.16900000000000001</v>
      </c>
      <c r="C27">
        <v>0.31</v>
      </c>
      <c r="D27">
        <v>0.26500000000000001</v>
      </c>
      <c r="E27">
        <v>0.58399999999999996</v>
      </c>
      <c r="F27">
        <v>1.3140000000000001</v>
      </c>
      <c r="G27">
        <v>0.63400000000000001</v>
      </c>
      <c r="AF27">
        <f t="shared" si="1"/>
        <v>1.3140000000000001</v>
      </c>
      <c r="AG27" s="9">
        <f t="shared" si="2"/>
        <v>0.48249619482496192</v>
      </c>
      <c r="AH27">
        <f t="shared" si="3"/>
        <v>0.248</v>
      </c>
      <c r="AI27">
        <f t="shared" si="4"/>
        <v>0.84399999999999997</v>
      </c>
    </row>
    <row r="28" spans="1:35">
      <c r="A28">
        <v>1994</v>
      </c>
      <c r="B28">
        <v>0.123</v>
      </c>
      <c r="C28">
        <v>0.35899999999999999</v>
      </c>
      <c r="D28">
        <v>0.36199999999999999</v>
      </c>
      <c r="E28">
        <v>0.495</v>
      </c>
      <c r="F28">
        <v>1.4810000000000001</v>
      </c>
      <c r="G28">
        <v>0.71399999999999997</v>
      </c>
      <c r="AF28">
        <f t="shared" si="1"/>
        <v>1.4810000000000001</v>
      </c>
      <c r="AG28" s="9">
        <f t="shared" si="2"/>
        <v>0.48210668467251849</v>
      </c>
      <c r="AH28">
        <f t="shared" si="3"/>
        <v>0.28133333333333332</v>
      </c>
      <c r="AI28">
        <f t="shared" si="4"/>
        <v>0.89666666666666661</v>
      </c>
    </row>
    <row r="29" spans="1:35">
      <c r="A29">
        <v>1995</v>
      </c>
      <c r="B29">
        <v>0.13400000000000001</v>
      </c>
      <c r="C29">
        <v>0.33</v>
      </c>
      <c r="D29">
        <v>0.24</v>
      </c>
      <c r="E29">
        <v>0.44600000000000001</v>
      </c>
      <c r="F29">
        <v>1.371</v>
      </c>
      <c r="G29">
        <v>0.66100000000000003</v>
      </c>
      <c r="AF29">
        <f t="shared" si="1"/>
        <v>1.371</v>
      </c>
      <c r="AG29" s="9">
        <f t="shared" si="2"/>
        <v>0.48212983223924144</v>
      </c>
      <c r="AH29">
        <f t="shared" si="3"/>
        <v>0.23466666666666666</v>
      </c>
      <c r="AI29">
        <f t="shared" si="4"/>
        <v>0.82599999999999996</v>
      </c>
    </row>
    <row r="30" spans="1:35">
      <c r="A30">
        <v>1996</v>
      </c>
      <c r="B30">
        <v>0.13700000000000001</v>
      </c>
      <c r="C30">
        <v>0.39800000000000002</v>
      </c>
      <c r="D30">
        <v>0.24199999999999999</v>
      </c>
      <c r="E30">
        <v>0.45100000000000001</v>
      </c>
      <c r="F30">
        <v>1.177</v>
      </c>
      <c r="G30">
        <v>0.56799999999999995</v>
      </c>
      <c r="AF30">
        <f t="shared" si="1"/>
        <v>1.177</v>
      </c>
      <c r="AG30" s="9">
        <f t="shared" si="2"/>
        <v>0.48258283772302457</v>
      </c>
      <c r="AH30">
        <f t="shared" si="3"/>
        <v>0.25900000000000001</v>
      </c>
      <c r="AI30">
        <f t="shared" si="4"/>
        <v>0.7320000000000001</v>
      </c>
    </row>
    <row r="31" spans="1:35">
      <c r="A31">
        <v>1997</v>
      </c>
      <c r="B31">
        <v>0.11</v>
      </c>
      <c r="C31">
        <v>0.441</v>
      </c>
      <c r="D31">
        <v>0.22600000000000001</v>
      </c>
      <c r="E31">
        <v>0.36399999999999999</v>
      </c>
      <c r="F31">
        <v>0.96</v>
      </c>
      <c r="G31">
        <v>0.46300000000000002</v>
      </c>
      <c r="AF31">
        <f t="shared" si="1"/>
        <v>0.96</v>
      </c>
      <c r="AG31" s="9">
        <f t="shared" si="2"/>
        <v>0.48229166666666673</v>
      </c>
      <c r="AH31">
        <f t="shared" si="3"/>
        <v>0.25900000000000001</v>
      </c>
      <c r="AI31">
        <f t="shared" si="4"/>
        <v>0.59566666666666668</v>
      </c>
    </row>
    <row r="32" spans="1:35">
      <c r="A32">
        <v>1998</v>
      </c>
      <c r="B32">
        <v>8.8999999999999996E-2</v>
      </c>
      <c r="C32">
        <v>0.44500000000000001</v>
      </c>
      <c r="D32">
        <v>0.27300000000000002</v>
      </c>
      <c r="E32">
        <v>0.42599999999999999</v>
      </c>
      <c r="F32">
        <v>1.1619999999999999</v>
      </c>
      <c r="G32">
        <v>0.56000000000000005</v>
      </c>
      <c r="AF32">
        <f t="shared" si="1"/>
        <v>1.1619999999999999</v>
      </c>
      <c r="AG32" s="9">
        <f t="shared" si="2"/>
        <v>0.48192771084337355</v>
      </c>
      <c r="AH32">
        <f t="shared" si="3"/>
        <v>0.26900000000000002</v>
      </c>
      <c r="AI32">
        <f t="shared" si="4"/>
        <v>0.71599999999999986</v>
      </c>
    </row>
    <row r="33" spans="1:35">
      <c r="A33">
        <v>1999</v>
      </c>
      <c r="B33">
        <v>0.14399999999999999</v>
      </c>
      <c r="C33">
        <v>0.59399999999999997</v>
      </c>
      <c r="D33">
        <v>0.32200000000000001</v>
      </c>
      <c r="E33">
        <v>0.44500000000000001</v>
      </c>
      <c r="F33">
        <v>0.91300000000000003</v>
      </c>
      <c r="G33">
        <v>0.44</v>
      </c>
      <c r="AF33">
        <f t="shared" si="1"/>
        <v>0.91300000000000003</v>
      </c>
      <c r="AG33" s="9">
        <f t="shared" si="2"/>
        <v>0.48192771084337349</v>
      </c>
      <c r="AH33">
        <f t="shared" si="3"/>
        <v>0.35333333333333333</v>
      </c>
      <c r="AI33">
        <f t="shared" si="4"/>
        <v>0.59933333333333338</v>
      </c>
    </row>
    <row r="34" spans="1:35">
      <c r="A34">
        <v>2000</v>
      </c>
      <c r="B34">
        <v>0.189</v>
      </c>
      <c r="C34">
        <v>0.39400000000000002</v>
      </c>
      <c r="D34">
        <v>0.20499999999999999</v>
      </c>
      <c r="E34">
        <v>0.59799999999999998</v>
      </c>
      <c r="F34">
        <v>0.90500000000000003</v>
      </c>
      <c r="G34">
        <v>0.436</v>
      </c>
      <c r="AF34">
        <f t="shared" si="1"/>
        <v>0.90500000000000003</v>
      </c>
      <c r="AG34" s="9">
        <f t="shared" si="2"/>
        <v>0.48176795580110493</v>
      </c>
      <c r="AH34">
        <f t="shared" si="3"/>
        <v>0.26266666666666666</v>
      </c>
      <c r="AI34">
        <f t="shared" si="4"/>
        <v>0.64633333333333332</v>
      </c>
    </row>
    <row r="35" spans="1:35">
      <c r="A35">
        <v>2001</v>
      </c>
      <c r="B35">
        <v>0.17599999999999999</v>
      </c>
      <c r="C35">
        <v>0.76800000000000002</v>
      </c>
      <c r="D35">
        <v>0.31</v>
      </c>
      <c r="E35">
        <v>0.52300000000000002</v>
      </c>
      <c r="F35">
        <v>1.153</v>
      </c>
      <c r="G35">
        <v>0.55600000000000005</v>
      </c>
      <c r="AF35">
        <f t="shared" si="1"/>
        <v>1.153</v>
      </c>
      <c r="AG35" s="9">
        <f t="shared" si="2"/>
        <v>0.48222029488291418</v>
      </c>
      <c r="AH35">
        <f t="shared" si="3"/>
        <v>0.41799999999999998</v>
      </c>
      <c r="AI35">
        <f t="shared" si="4"/>
        <v>0.74400000000000011</v>
      </c>
    </row>
    <row r="36" spans="1:35">
      <c r="A36">
        <v>2002</v>
      </c>
      <c r="B36">
        <v>0.20100000000000001</v>
      </c>
      <c r="C36">
        <v>0.60299999999999998</v>
      </c>
      <c r="D36">
        <v>0.26300000000000001</v>
      </c>
      <c r="E36">
        <v>0.45900000000000002</v>
      </c>
      <c r="F36">
        <v>0.9</v>
      </c>
      <c r="G36">
        <v>0.434</v>
      </c>
      <c r="AF36">
        <f t="shared" si="1"/>
        <v>0.9</v>
      </c>
      <c r="AG36" s="9">
        <f t="shared" si="2"/>
        <v>0.48222222222222222</v>
      </c>
      <c r="AH36">
        <f t="shared" si="3"/>
        <v>0.35566666666666674</v>
      </c>
      <c r="AI36">
        <f t="shared" si="4"/>
        <v>0.59766666666666668</v>
      </c>
    </row>
    <row r="37" spans="1:35">
      <c r="A37">
        <v>2003</v>
      </c>
      <c r="B37">
        <v>0.184</v>
      </c>
      <c r="C37">
        <v>0.66</v>
      </c>
      <c r="D37">
        <v>0.24199999999999999</v>
      </c>
      <c r="E37">
        <v>0.56799999999999995</v>
      </c>
      <c r="F37">
        <v>0.90700000000000003</v>
      </c>
      <c r="G37">
        <v>0.438</v>
      </c>
      <c r="AF37">
        <f t="shared" si="1"/>
        <v>0.90700000000000003</v>
      </c>
      <c r="AG37" s="9">
        <f t="shared" si="2"/>
        <v>0.48291069459757441</v>
      </c>
      <c r="AH37">
        <f t="shared" si="3"/>
        <v>0.36200000000000004</v>
      </c>
      <c r="AI37">
        <f t="shared" si="4"/>
        <v>0.63766666666666671</v>
      </c>
    </row>
    <row r="38" spans="1:35">
      <c r="A38">
        <v>2004</v>
      </c>
      <c r="B38">
        <v>0.185</v>
      </c>
      <c r="C38">
        <v>0.46600000000000003</v>
      </c>
      <c r="D38">
        <v>0.373</v>
      </c>
      <c r="E38">
        <v>0.55700000000000005</v>
      </c>
      <c r="F38">
        <v>1.0269999999999999</v>
      </c>
      <c r="G38">
        <v>0.495</v>
      </c>
      <c r="AF38">
        <f t="shared" si="1"/>
        <v>1.0269999999999999</v>
      </c>
      <c r="AG38" s="9">
        <f t="shared" si="2"/>
        <v>0.48198636806231748</v>
      </c>
      <c r="AH38">
        <f t="shared" si="3"/>
        <v>0.34133333333333332</v>
      </c>
      <c r="AI38">
        <f t="shared" si="4"/>
        <v>0.69300000000000006</v>
      </c>
    </row>
    <row r="39" spans="1:35">
      <c r="A39">
        <v>2005</v>
      </c>
      <c r="B39">
        <v>0.14799999999999999</v>
      </c>
      <c r="C39">
        <v>0.54700000000000004</v>
      </c>
      <c r="D39">
        <v>0.21099999999999999</v>
      </c>
      <c r="E39">
        <v>0.52500000000000002</v>
      </c>
      <c r="F39">
        <v>1.1240000000000001</v>
      </c>
      <c r="G39">
        <v>0.54200000000000004</v>
      </c>
      <c r="AF39">
        <f t="shared" si="1"/>
        <v>1.1240000000000001</v>
      </c>
      <c r="AG39" s="9">
        <f t="shared" si="2"/>
        <v>0.48220640569395018</v>
      </c>
      <c r="AH39">
        <f t="shared" si="3"/>
        <v>0.30199999999999999</v>
      </c>
      <c r="AI39">
        <f t="shared" si="4"/>
        <v>0.73033333333333328</v>
      </c>
    </row>
    <row r="40" spans="1:35">
      <c r="A40">
        <v>2006</v>
      </c>
      <c r="B40">
        <v>0.11899999999999999</v>
      </c>
      <c r="C40">
        <v>0.27400000000000002</v>
      </c>
      <c r="D40">
        <v>0.32100000000000001</v>
      </c>
      <c r="E40">
        <v>0.44400000000000001</v>
      </c>
      <c r="F40">
        <v>1.6020000000000001</v>
      </c>
      <c r="G40">
        <v>0.77200000000000002</v>
      </c>
      <c r="AF40">
        <f t="shared" si="1"/>
        <v>1.6020000000000001</v>
      </c>
      <c r="AG40" s="9">
        <f t="shared" si="2"/>
        <v>0.48189762796504371</v>
      </c>
      <c r="AH40">
        <f t="shared" si="3"/>
        <v>0.23799999999999999</v>
      </c>
      <c r="AI40">
        <f t="shared" si="4"/>
        <v>0.93933333333333346</v>
      </c>
    </row>
    <row r="41" spans="1:35">
      <c r="AF41" t="str">
        <f t="shared" si="1"/>
        <v/>
      </c>
      <c r="AG41" s="9"/>
    </row>
    <row r="42" spans="1:35">
      <c r="AF42" t="str">
        <f t="shared" si="1"/>
        <v/>
      </c>
    </row>
    <row r="43" spans="1:35">
      <c r="AF43" t="str">
        <f t="shared" si="1"/>
        <v/>
      </c>
    </row>
    <row r="44" spans="1:35">
      <c r="AF44" t="str">
        <f t="shared" si="1"/>
        <v/>
      </c>
    </row>
    <row r="45" spans="1:35">
      <c r="AF45" t="str">
        <f t="shared" si="1"/>
        <v/>
      </c>
    </row>
    <row r="46" spans="1:35">
      <c r="AF46" t="str">
        <f t="shared" si="1"/>
        <v/>
      </c>
    </row>
    <row r="47" spans="1:35">
      <c r="AF47" t="str">
        <f t="shared" si="1"/>
        <v/>
      </c>
    </row>
    <row r="48" spans="1:35">
      <c r="AF48" t="str">
        <f t="shared" si="1"/>
        <v/>
      </c>
    </row>
    <row r="49" spans="32:32">
      <c r="AF49" t="str">
        <f t="shared" si="1"/>
        <v/>
      </c>
    </row>
    <row r="50" spans="32:32">
      <c r="AF50" t="str">
        <f t="shared" si="1"/>
        <v/>
      </c>
    </row>
    <row r="51" spans="32:32">
      <c r="AF51" t="str">
        <f t="shared" si="1"/>
        <v/>
      </c>
    </row>
    <row r="52" spans="32:32">
      <c r="AF52" t="str">
        <f t="shared" si="1"/>
        <v/>
      </c>
    </row>
    <row r="53" spans="32:32">
      <c r="AF53" t="str">
        <f t="shared" si="1"/>
        <v/>
      </c>
    </row>
    <row r="54" spans="32:32">
      <c r="AF54" t="str">
        <f t="shared" si="1"/>
        <v/>
      </c>
    </row>
    <row r="55" spans="32:32">
      <c r="AF55" t="str">
        <f t="shared" si="1"/>
        <v/>
      </c>
    </row>
    <row r="56" spans="32:32">
      <c r="AF56" t="str">
        <f t="shared" si="1"/>
        <v/>
      </c>
    </row>
    <row r="57" spans="32:32">
      <c r="AF57" t="str">
        <f t="shared" si="1"/>
        <v/>
      </c>
    </row>
    <row r="58" spans="32:32">
      <c r="AF58" t="str">
        <f t="shared" si="1"/>
        <v/>
      </c>
    </row>
    <row r="59" spans="32:32">
      <c r="AF59" t="str">
        <f t="shared" si="1"/>
        <v/>
      </c>
    </row>
    <row r="60" spans="32:32">
      <c r="AF60" t="str">
        <f t="shared" si="1"/>
        <v/>
      </c>
    </row>
    <row r="61" spans="32:32">
      <c r="AF61" t="str">
        <f t="shared" si="1"/>
        <v/>
      </c>
    </row>
    <row r="62" spans="32:32">
      <c r="AF62" t="str">
        <f t="shared" si="1"/>
        <v/>
      </c>
    </row>
    <row r="63" spans="32:32">
      <c r="AF63" t="str">
        <f t="shared" si="1"/>
        <v/>
      </c>
    </row>
    <row r="64" spans="32:32">
      <c r="AF64" t="str">
        <f t="shared" si="1"/>
        <v/>
      </c>
    </row>
    <row r="65" spans="32:32">
      <c r="AF65" t="str">
        <f t="shared" si="1"/>
        <v/>
      </c>
    </row>
    <row r="66" spans="32:32">
      <c r="AF66" t="str">
        <f t="shared" si="1"/>
        <v/>
      </c>
    </row>
    <row r="67" spans="32:32">
      <c r="AF67" t="str">
        <f t="shared" si="1"/>
        <v/>
      </c>
    </row>
    <row r="68" spans="32:32">
      <c r="AF68" t="str">
        <f t="shared" si="1"/>
        <v/>
      </c>
    </row>
    <row r="69" spans="32:32">
      <c r="AF69" t="str">
        <f t="shared" ref="AF69:AF99" si="5">IF(B69&gt;0,MAX(B69:AE69),"")</f>
        <v/>
      </c>
    </row>
    <row r="70" spans="32:32">
      <c r="AF70" t="str">
        <f t="shared" si="5"/>
        <v/>
      </c>
    </row>
    <row r="71" spans="32:32">
      <c r="AF71" t="str">
        <f t="shared" si="5"/>
        <v/>
      </c>
    </row>
    <row r="72" spans="32:32">
      <c r="AF72" t="str">
        <f t="shared" si="5"/>
        <v/>
      </c>
    </row>
    <row r="73" spans="32:32">
      <c r="AF73" t="str">
        <f t="shared" si="5"/>
        <v/>
      </c>
    </row>
    <row r="74" spans="32:32">
      <c r="AF74" t="str">
        <f t="shared" si="5"/>
        <v/>
      </c>
    </row>
    <row r="75" spans="32:32">
      <c r="AF75" t="str">
        <f t="shared" si="5"/>
        <v/>
      </c>
    </row>
    <row r="76" spans="32:32">
      <c r="AF76" t="str">
        <f t="shared" si="5"/>
        <v/>
      </c>
    </row>
    <row r="77" spans="32:32">
      <c r="AF77" t="str">
        <f t="shared" si="5"/>
        <v/>
      </c>
    </row>
    <row r="78" spans="32:32">
      <c r="AF78" t="str">
        <f t="shared" si="5"/>
        <v/>
      </c>
    </row>
    <row r="79" spans="32:32">
      <c r="AF79" t="str">
        <f t="shared" si="5"/>
        <v/>
      </c>
    </row>
    <row r="80" spans="32:32">
      <c r="AF80" t="str">
        <f t="shared" si="5"/>
        <v/>
      </c>
    </row>
    <row r="81" spans="32:32">
      <c r="AF81" t="str">
        <f t="shared" si="5"/>
        <v/>
      </c>
    </row>
    <row r="82" spans="32:32">
      <c r="AF82" t="str">
        <f t="shared" si="5"/>
        <v/>
      </c>
    </row>
    <row r="83" spans="32:32">
      <c r="AF83" t="str">
        <f t="shared" si="5"/>
        <v/>
      </c>
    </row>
    <row r="84" spans="32:32">
      <c r="AF84" t="str">
        <f t="shared" si="5"/>
        <v/>
      </c>
    </row>
    <row r="85" spans="32:32">
      <c r="AF85" t="str">
        <f t="shared" si="5"/>
        <v/>
      </c>
    </row>
    <row r="86" spans="32:32">
      <c r="AF86" t="str">
        <f t="shared" si="5"/>
        <v/>
      </c>
    </row>
    <row r="87" spans="32:32">
      <c r="AF87" t="str">
        <f t="shared" si="5"/>
        <v/>
      </c>
    </row>
    <row r="88" spans="32:32">
      <c r="AF88" t="str">
        <f t="shared" si="5"/>
        <v/>
      </c>
    </row>
    <row r="89" spans="32:32">
      <c r="AF89" t="str">
        <f t="shared" si="5"/>
        <v/>
      </c>
    </row>
    <row r="90" spans="32:32">
      <c r="AF90" t="str">
        <f t="shared" si="5"/>
        <v/>
      </c>
    </row>
    <row r="91" spans="32:32">
      <c r="AF91" t="str">
        <f t="shared" si="5"/>
        <v/>
      </c>
    </row>
    <row r="92" spans="32:32">
      <c r="AF92" t="str">
        <f t="shared" si="5"/>
        <v/>
      </c>
    </row>
    <row r="93" spans="32:32">
      <c r="AF93" t="str">
        <f t="shared" si="5"/>
        <v/>
      </c>
    </row>
    <row r="94" spans="32:32">
      <c r="AF94" t="str">
        <f t="shared" si="5"/>
        <v/>
      </c>
    </row>
    <row r="95" spans="32:32">
      <c r="AF95" t="str">
        <f t="shared" si="5"/>
        <v/>
      </c>
    </row>
    <row r="96" spans="32:32">
      <c r="AF96" t="str">
        <f t="shared" si="5"/>
        <v/>
      </c>
    </row>
    <row r="97" spans="32:32">
      <c r="AF97" t="str">
        <f t="shared" si="5"/>
        <v/>
      </c>
    </row>
    <row r="98" spans="32:32">
      <c r="AF98" t="str">
        <f t="shared" si="5"/>
        <v/>
      </c>
    </row>
    <row r="99" spans="32:32">
      <c r="AF99" t="str">
        <f t="shared" si="5"/>
        <v/>
      </c>
    </row>
    <row r="100" spans="32:32">
      <c r="AF100" t="str">
        <f>IF(B100&gt;0,MAX(B100:AE100),"")</f>
        <v/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/>
  <dimension ref="A2:AF99"/>
  <sheetViews>
    <sheetView zoomScale="75" workbookViewId="0">
      <selection activeCell="Q38" sqref="Q38"/>
    </sheetView>
  </sheetViews>
  <sheetFormatPr defaultRowHeight="12.75"/>
  <sheetData>
    <row r="2" spans="1:32">
      <c r="A2" t="s">
        <v>32</v>
      </c>
      <c r="D2" t="s">
        <v>3</v>
      </c>
      <c r="E2">
        <v>1</v>
      </c>
    </row>
    <row r="3" spans="1:32">
      <c r="A3" t="s">
        <v>0</v>
      </c>
      <c r="B3" s="6" t="s">
        <v>95</v>
      </c>
      <c r="C3" s="6" t="s">
        <v>4</v>
      </c>
      <c r="D3" s="6" t="s">
        <v>5</v>
      </c>
      <c r="E3" s="6" t="s">
        <v>6</v>
      </c>
      <c r="F3" s="6" t="s">
        <v>7</v>
      </c>
      <c r="G3" s="6" t="s">
        <v>8</v>
      </c>
      <c r="H3" s="6"/>
      <c r="I3" s="6" t="s">
        <v>10</v>
      </c>
      <c r="J3" s="6" t="s">
        <v>11</v>
      </c>
      <c r="K3" s="6" t="s">
        <v>12</v>
      </c>
      <c r="L3" s="6" t="s">
        <v>13</v>
      </c>
      <c r="M3" s="6" t="s">
        <v>94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6" t="s">
        <v>20</v>
      </c>
      <c r="U3" s="6" t="s">
        <v>21</v>
      </c>
      <c r="V3" s="6" t="s">
        <v>22</v>
      </c>
      <c r="W3" s="6" t="s">
        <v>23</v>
      </c>
      <c r="X3" s="6" t="s">
        <v>24</v>
      </c>
      <c r="Y3" s="6" t="s">
        <v>25</v>
      </c>
      <c r="Z3" s="6" t="s">
        <v>26</v>
      </c>
      <c r="AA3" s="6" t="s">
        <v>27</v>
      </c>
      <c r="AB3" s="6" t="s">
        <v>28</v>
      </c>
      <c r="AC3" s="6" t="s">
        <v>29</v>
      </c>
      <c r="AD3" s="6" t="s">
        <v>30</v>
      </c>
      <c r="AE3" s="6" t="s">
        <v>31</v>
      </c>
      <c r="AF3" t="s">
        <v>39</v>
      </c>
    </row>
    <row r="4" spans="1:32">
      <c r="A4">
        <v>1970</v>
      </c>
      <c r="B4">
        <v>44231070</v>
      </c>
      <c r="C4">
        <v>19194290</v>
      </c>
      <c r="D4">
        <v>5110941</v>
      </c>
      <c r="E4">
        <v>2714066</v>
      </c>
      <c r="F4">
        <v>960618</v>
      </c>
      <c r="G4">
        <v>447383</v>
      </c>
      <c r="AF4">
        <f>IF(B4&gt;0,SUM(B4:AE4),"")</f>
        <v>72658368</v>
      </c>
    </row>
    <row r="5" spans="1:32">
      <c r="A5">
        <v>1971</v>
      </c>
      <c r="B5">
        <v>45651799</v>
      </c>
      <c r="C5">
        <v>19638711</v>
      </c>
      <c r="D5">
        <v>7186551</v>
      </c>
      <c r="E5">
        <v>2365442</v>
      </c>
      <c r="F5">
        <v>1023559</v>
      </c>
      <c r="G5">
        <v>473684</v>
      </c>
      <c r="AF5">
        <f t="shared" ref="AF5:AF68" si="0">IF(B5&gt;0,SUM(B5:AE5),"")</f>
        <v>76339746</v>
      </c>
    </row>
    <row r="6" spans="1:32">
      <c r="A6">
        <v>1972</v>
      </c>
      <c r="B6">
        <v>39795295</v>
      </c>
      <c r="C6">
        <v>20287966</v>
      </c>
      <c r="D6">
        <v>7546887</v>
      </c>
      <c r="E6">
        <v>3016904</v>
      </c>
      <c r="F6">
        <v>957066</v>
      </c>
      <c r="G6">
        <v>559789</v>
      </c>
      <c r="AF6">
        <f t="shared" si="0"/>
        <v>72163907</v>
      </c>
    </row>
    <row r="7" spans="1:32">
      <c r="A7">
        <v>1973</v>
      </c>
      <c r="B7">
        <v>43801670</v>
      </c>
      <c r="C7">
        <v>17639447</v>
      </c>
      <c r="D7">
        <v>7789743</v>
      </c>
      <c r="E7">
        <v>3068242</v>
      </c>
      <c r="F7">
        <v>1093625</v>
      </c>
      <c r="G7">
        <v>560242</v>
      </c>
      <c r="AF7">
        <f t="shared" si="0"/>
        <v>73952969</v>
      </c>
    </row>
    <row r="8" spans="1:32">
      <c r="A8">
        <v>1974</v>
      </c>
      <c r="B8">
        <v>45470565</v>
      </c>
      <c r="C8">
        <v>19522593</v>
      </c>
      <c r="D8">
        <v>6905712</v>
      </c>
      <c r="E8">
        <v>3372598</v>
      </c>
      <c r="F8">
        <v>1103528</v>
      </c>
      <c r="G8">
        <v>570252</v>
      </c>
      <c r="AF8">
        <f t="shared" si="0"/>
        <v>76945248</v>
      </c>
    </row>
    <row r="9" spans="1:32">
      <c r="A9">
        <v>1975</v>
      </c>
      <c r="B9">
        <v>57293840</v>
      </c>
      <c r="C9">
        <v>19853352</v>
      </c>
      <c r="D9">
        <v>7163879</v>
      </c>
      <c r="E9">
        <v>2872138</v>
      </c>
      <c r="F9">
        <v>1209165</v>
      </c>
      <c r="G9">
        <v>550508</v>
      </c>
      <c r="AF9">
        <f t="shared" si="0"/>
        <v>88942882</v>
      </c>
    </row>
    <row r="10" spans="1:32">
      <c r="A10">
        <v>1976</v>
      </c>
      <c r="B10">
        <v>62213229</v>
      </c>
      <c r="C10">
        <v>24539401</v>
      </c>
      <c r="D10">
        <v>7118587</v>
      </c>
      <c r="E10">
        <v>2699701</v>
      </c>
      <c r="F10">
        <v>975953</v>
      </c>
      <c r="G10">
        <v>431084</v>
      </c>
      <c r="AF10">
        <f t="shared" si="0"/>
        <v>97977955</v>
      </c>
    </row>
    <row r="11" spans="1:32">
      <c r="A11">
        <v>1977</v>
      </c>
      <c r="B11">
        <v>55977924</v>
      </c>
      <c r="C11">
        <v>26533801</v>
      </c>
      <c r="D11">
        <v>8690077</v>
      </c>
      <c r="E11">
        <v>2908100</v>
      </c>
      <c r="F11">
        <v>864743</v>
      </c>
      <c r="G11">
        <v>289790</v>
      </c>
      <c r="AF11">
        <f t="shared" si="0"/>
        <v>95264435</v>
      </c>
    </row>
    <row r="12" spans="1:32">
      <c r="A12">
        <v>1978</v>
      </c>
      <c r="B12">
        <v>52541031</v>
      </c>
      <c r="C12">
        <v>24183557</v>
      </c>
      <c r="D12">
        <v>9316566</v>
      </c>
      <c r="E12">
        <v>3538260</v>
      </c>
      <c r="F12">
        <v>906935</v>
      </c>
      <c r="G12">
        <v>212952</v>
      </c>
      <c r="AF12">
        <f t="shared" si="0"/>
        <v>90699301</v>
      </c>
    </row>
    <row r="13" spans="1:32">
      <c r="A13">
        <v>1979</v>
      </c>
      <c r="B13">
        <v>55595408</v>
      </c>
      <c r="C13">
        <v>22571509</v>
      </c>
      <c r="D13">
        <v>8511995</v>
      </c>
      <c r="E13">
        <v>3702811</v>
      </c>
      <c r="F13">
        <v>1121050</v>
      </c>
      <c r="G13">
        <v>263291</v>
      </c>
      <c r="AF13">
        <f t="shared" si="0"/>
        <v>91766064</v>
      </c>
    </row>
    <row r="14" spans="1:32">
      <c r="A14">
        <v>1980</v>
      </c>
      <c r="B14">
        <v>49213505</v>
      </c>
      <c r="C14">
        <v>23661282</v>
      </c>
      <c r="D14">
        <v>7721217</v>
      </c>
      <c r="E14">
        <v>3931416</v>
      </c>
      <c r="F14">
        <v>1209114</v>
      </c>
      <c r="G14">
        <v>332238</v>
      </c>
      <c r="AF14">
        <f t="shared" si="0"/>
        <v>86068772</v>
      </c>
    </row>
    <row r="15" spans="1:32">
      <c r="A15">
        <v>1981</v>
      </c>
      <c r="B15">
        <v>71134399</v>
      </c>
      <c r="C15">
        <v>20037652</v>
      </c>
      <c r="D15">
        <v>8056961</v>
      </c>
      <c r="E15">
        <v>3337840</v>
      </c>
      <c r="F15">
        <v>1461467</v>
      </c>
      <c r="G15">
        <v>412926</v>
      </c>
      <c r="AF15">
        <f t="shared" si="0"/>
        <v>104441245</v>
      </c>
    </row>
    <row r="16" spans="1:32">
      <c r="A16">
        <v>1982</v>
      </c>
      <c r="B16">
        <v>58170110</v>
      </c>
      <c r="C16">
        <v>27593542</v>
      </c>
      <c r="D16">
        <v>6410121</v>
      </c>
      <c r="E16">
        <v>3356232</v>
      </c>
      <c r="F16">
        <v>1170721</v>
      </c>
      <c r="G16">
        <v>371057</v>
      </c>
      <c r="AF16">
        <f t="shared" si="0"/>
        <v>97071783</v>
      </c>
    </row>
    <row r="17" spans="1:32">
      <c r="A17">
        <v>1983</v>
      </c>
      <c r="B17">
        <v>75448936</v>
      </c>
      <c r="C17">
        <v>24410550</v>
      </c>
      <c r="D17">
        <v>8081463</v>
      </c>
      <c r="E17">
        <v>2527635</v>
      </c>
      <c r="F17">
        <v>982533</v>
      </c>
      <c r="G17">
        <v>260545</v>
      </c>
      <c r="AF17">
        <f t="shared" si="0"/>
        <v>111711662</v>
      </c>
    </row>
    <row r="18" spans="1:32">
      <c r="A18">
        <v>1984</v>
      </c>
      <c r="B18">
        <v>57706541</v>
      </c>
      <c r="C18">
        <v>31095188</v>
      </c>
      <c r="D18">
        <v>7975904</v>
      </c>
      <c r="E18">
        <v>3227508</v>
      </c>
      <c r="F18">
        <v>491331</v>
      </c>
      <c r="G18">
        <v>123729</v>
      </c>
      <c r="AF18">
        <f t="shared" si="0"/>
        <v>100620201</v>
      </c>
    </row>
    <row r="19" spans="1:32">
      <c r="A19">
        <v>1985</v>
      </c>
      <c r="B19">
        <v>75458671</v>
      </c>
      <c r="C19">
        <v>24044907</v>
      </c>
      <c r="D19">
        <v>9548683</v>
      </c>
      <c r="E19">
        <v>2978613</v>
      </c>
      <c r="F19">
        <v>1155692</v>
      </c>
      <c r="G19">
        <v>167691</v>
      </c>
      <c r="AF19">
        <f t="shared" si="0"/>
        <v>113354257</v>
      </c>
    </row>
    <row r="20" spans="1:32">
      <c r="A20">
        <v>1986</v>
      </c>
      <c r="B20">
        <v>68909667</v>
      </c>
      <c r="C20">
        <v>31134633</v>
      </c>
      <c r="D20">
        <v>8135036</v>
      </c>
      <c r="E20">
        <v>3702894</v>
      </c>
      <c r="F20">
        <v>954067</v>
      </c>
      <c r="G20">
        <v>176923</v>
      </c>
      <c r="AF20">
        <f t="shared" si="0"/>
        <v>113013220</v>
      </c>
    </row>
    <row r="21" spans="1:32">
      <c r="A21">
        <v>1987</v>
      </c>
      <c r="B21">
        <v>70226028</v>
      </c>
      <c r="C21">
        <v>28556462</v>
      </c>
      <c r="D21">
        <v>11183440</v>
      </c>
      <c r="E21">
        <v>3522464</v>
      </c>
      <c r="F21">
        <v>1075997</v>
      </c>
      <c r="G21">
        <v>172343</v>
      </c>
      <c r="AF21">
        <f t="shared" si="0"/>
        <v>114736734</v>
      </c>
    </row>
    <row r="22" spans="1:32">
      <c r="A22">
        <v>1988</v>
      </c>
      <c r="B22">
        <v>59961091</v>
      </c>
      <c r="C22">
        <v>27491959</v>
      </c>
      <c r="D22">
        <v>10056623</v>
      </c>
      <c r="E22">
        <v>5043422</v>
      </c>
      <c r="F22">
        <v>1181477</v>
      </c>
      <c r="G22">
        <v>193158</v>
      </c>
      <c r="AF22">
        <f t="shared" si="0"/>
        <v>103927730</v>
      </c>
    </row>
    <row r="23" spans="1:32">
      <c r="A23">
        <v>1989</v>
      </c>
      <c r="B23">
        <v>70868030</v>
      </c>
      <c r="C23">
        <v>23676857</v>
      </c>
      <c r="D23">
        <v>9141192</v>
      </c>
      <c r="E23">
        <v>4695236</v>
      </c>
      <c r="F23">
        <v>1794762</v>
      </c>
      <c r="G23">
        <v>385437</v>
      </c>
      <c r="AF23">
        <f t="shared" si="0"/>
        <v>110561514</v>
      </c>
    </row>
    <row r="24" spans="1:32">
      <c r="A24">
        <v>1990</v>
      </c>
      <c r="B24">
        <v>71435876</v>
      </c>
      <c r="C24">
        <v>28059540</v>
      </c>
      <c r="D24">
        <v>7986939</v>
      </c>
      <c r="E24">
        <v>4330866</v>
      </c>
      <c r="F24">
        <v>1709319</v>
      </c>
      <c r="G24">
        <v>455112</v>
      </c>
      <c r="AF24">
        <f t="shared" si="0"/>
        <v>113977652</v>
      </c>
    </row>
    <row r="25" spans="1:32">
      <c r="A25">
        <v>1991</v>
      </c>
      <c r="B25">
        <v>67626067</v>
      </c>
      <c r="C25">
        <v>27676643</v>
      </c>
      <c r="D25">
        <v>8838492</v>
      </c>
      <c r="E25">
        <v>3676411</v>
      </c>
      <c r="F25">
        <v>1413170</v>
      </c>
      <c r="G25">
        <v>345188</v>
      </c>
      <c r="AF25">
        <f t="shared" si="0"/>
        <v>109575971</v>
      </c>
    </row>
    <row r="26" spans="1:32">
      <c r="A26">
        <v>1992</v>
      </c>
      <c r="B26">
        <v>72814110</v>
      </c>
      <c r="C26">
        <v>26303996</v>
      </c>
      <c r="D26">
        <v>8922228</v>
      </c>
      <c r="E26">
        <v>3996339</v>
      </c>
      <c r="F26">
        <v>1228016</v>
      </c>
      <c r="G26">
        <v>304734</v>
      </c>
      <c r="AF26">
        <f t="shared" si="0"/>
        <v>113569423</v>
      </c>
    </row>
    <row r="27" spans="1:32">
      <c r="A27">
        <v>1993</v>
      </c>
      <c r="B27">
        <v>79871925</v>
      </c>
      <c r="C27">
        <v>28723950</v>
      </c>
      <c r="D27">
        <v>8603592</v>
      </c>
      <c r="E27">
        <v>4003129</v>
      </c>
      <c r="F27">
        <v>1273379</v>
      </c>
      <c r="G27">
        <v>223830</v>
      </c>
      <c r="AF27">
        <f t="shared" si="0"/>
        <v>122699805</v>
      </c>
    </row>
    <row r="28" spans="1:32">
      <c r="A28">
        <v>1994</v>
      </c>
      <c r="B28">
        <v>62225590</v>
      </c>
      <c r="C28">
        <v>30301827</v>
      </c>
      <c r="D28">
        <v>9463702</v>
      </c>
      <c r="E28">
        <v>3620786</v>
      </c>
      <c r="F28">
        <v>1224570</v>
      </c>
      <c r="G28">
        <v>252907</v>
      </c>
      <c r="AF28">
        <f t="shared" si="0"/>
        <v>107089382</v>
      </c>
    </row>
    <row r="29" spans="1:32">
      <c r="A29">
        <v>1995</v>
      </c>
      <c r="B29">
        <v>59834903</v>
      </c>
      <c r="C29">
        <v>24733028</v>
      </c>
      <c r="D29">
        <v>9506982</v>
      </c>
      <c r="E29">
        <v>3617939</v>
      </c>
      <c r="F29">
        <v>1210824</v>
      </c>
      <c r="G29">
        <v>220868</v>
      </c>
      <c r="AF29">
        <f t="shared" si="0"/>
        <v>99124544</v>
      </c>
    </row>
    <row r="30" spans="1:32">
      <c r="A30">
        <v>1996</v>
      </c>
      <c r="B30">
        <v>61094390</v>
      </c>
      <c r="C30">
        <v>23513889</v>
      </c>
      <c r="D30">
        <v>7989565</v>
      </c>
      <c r="E30">
        <v>4104123</v>
      </c>
      <c r="F30">
        <v>1271271</v>
      </c>
      <c r="G30">
        <v>231277</v>
      </c>
      <c r="AF30">
        <f t="shared" si="0"/>
        <v>98204515</v>
      </c>
    </row>
    <row r="31" spans="1:32">
      <c r="A31">
        <v>1997</v>
      </c>
      <c r="B31">
        <v>70644480</v>
      </c>
      <c r="C31">
        <v>23947973</v>
      </c>
      <c r="D31">
        <v>7097029</v>
      </c>
      <c r="E31">
        <v>3442622</v>
      </c>
      <c r="F31">
        <v>1435408</v>
      </c>
      <c r="G31">
        <v>286946</v>
      </c>
      <c r="AF31">
        <f t="shared" si="0"/>
        <v>106854458</v>
      </c>
    </row>
    <row r="32" spans="1:32">
      <c r="A32">
        <v>1998</v>
      </c>
      <c r="B32">
        <v>88801745</v>
      </c>
      <c r="C32">
        <v>28431265</v>
      </c>
      <c r="D32">
        <v>6922313</v>
      </c>
      <c r="E32">
        <v>3108144</v>
      </c>
      <c r="F32">
        <v>1312267</v>
      </c>
      <c r="G32">
        <v>400804</v>
      </c>
      <c r="AF32">
        <f t="shared" si="0"/>
        <v>128976538</v>
      </c>
    </row>
    <row r="33" spans="1:32">
      <c r="A33">
        <v>1999</v>
      </c>
      <c r="B33">
        <v>65684208</v>
      </c>
      <c r="C33">
        <v>36486665</v>
      </c>
      <c r="D33">
        <v>8185731</v>
      </c>
      <c r="E33">
        <v>2891384</v>
      </c>
      <c r="F33">
        <v>1113565</v>
      </c>
      <c r="G33">
        <v>351028</v>
      </c>
      <c r="AF33">
        <f t="shared" si="0"/>
        <v>114712581</v>
      </c>
    </row>
    <row r="34" spans="1:32">
      <c r="A34">
        <v>2000</v>
      </c>
      <c r="B34">
        <v>69766112</v>
      </c>
      <c r="C34">
        <v>25566549</v>
      </c>
      <c r="D34">
        <v>9055035</v>
      </c>
      <c r="E34">
        <v>3255382</v>
      </c>
      <c r="F34">
        <v>1017106</v>
      </c>
      <c r="G34">
        <v>369255</v>
      </c>
      <c r="AF34">
        <f t="shared" si="0"/>
        <v>109029439</v>
      </c>
    </row>
    <row r="35" spans="1:32">
      <c r="A35">
        <v>2001</v>
      </c>
      <c r="B35">
        <v>66438210</v>
      </c>
      <c r="C35">
        <v>25956457</v>
      </c>
      <c r="D35">
        <v>7747597</v>
      </c>
      <c r="E35">
        <v>4048437</v>
      </c>
      <c r="F35">
        <v>982889</v>
      </c>
      <c r="G35">
        <v>356907</v>
      </c>
      <c r="AF35">
        <f t="shared" si="0"/>
        <v>105530497</v>
      </c>
    </row>
    <row r="36" spans="1:32">
      <c r="A36">
        <v>2002</v>
      </c>
      <c r="B36">
        <v>56453409</v>
      </c>
      <c r="C36">
        <v>25035490</v>
      </c>
      <c r="D36">
        <v>5409297</v>
      </c>
      <c r="E36">
        <v>3119011</v>
      </c>
      <c r="F36">
        <v>1317485</v>
      </c>
      <c r="G36">
        <v>282637</v>
      </c>
      <c r="AF36">
        <f t="shared" si="0"/>
        <v>91617329</v>
      </c>
    </row>
    <row r="37" spans="1:32">
      <c r="A37">
        <v>2003</v>
      </c>
      <c r="B37">
        <v>58769002</v>
      </c>
      <c r="C37">
        <v>20743802</v>
      </c>
      <c r="D37">
        <v>6154728</v>
      </c>
      <c r="E37">
        <v>2282737</v>
      </c>
      <c r="F37">
        <v>1082013</v>
      </c>
      <c r="G37">
        <v>394585</v>
      </c>
      <c r="AF37">
        <f t="shared" si="0"/>
        <v>89426867</v>
      </c>
    </row>
    <row r="38" spans="1:32">
      <c r="A38">
        <v>2004</v>
      </c>
      <c r="B38">
        <v>60520122</v>
      </c>
      <c r="C38">
        <v>21969921</v>
      </c>
      <c r="D38">
        <v>4815950</v>
      </c>
      <c r="E38">
        <v>2650722</v>
      </c>
      <c r="F38">
        <v>709930</v>
      </c>
      <c r="G38">
        <v>379433</v>
      </c>
      <c r="AF38">
        <f t="shared" si="0"/>
        <v>91046078</v>
      </c>
    </row>
    <row r="39" spans="1:32">
      <c r="A39">
        <v>2005</v>
      </c>
      <c r="B39">
        <v>60420651</v>
      </c>
      <c r="C39">
        <v>22602512</v>
      </c>
      <c r="D39">
        <v>6197608</v>
      </c>
      <c r="E39">
        <v>1819292</v>
      </c>
      <c r="F39">
        <v>833728</v>
      </c>
      <c r="G39">
        <v>266459</v>
      </c>
      <c r="AF39">
        <f t="shared" si="0"/>
        <v>92140250</v>
      </c>
    </row>
    <row r="40" spans="1:32">
      <c r="A40">
        <v>2006</v>
      </c>
      <c r="B40">
        <v>59548555</v>
      </c>
      <c r="C40">
        <v>23403865</v>
      </c>
      <c r="D40">
        <v>5874152</v>
      </c>
      <c r="E40">
        <v>2754609</v>
      </c>
      <c r="F40">
        <v>590476</v>
      </c>
      <c r="G40">
        <v>233823</v>
      </c>
      <c r="AF40">
        <f t="shared" si="0"/>
        <v>92405480</v>
      </c>
    </row>
    <row r="43" spans="1:32">
      <c r="AF43" t="str">
        <f t="shared" si="0"/>
        <v/>
      </c>
    </row>
    <row r="44" spans="1:32">
      <c r="AF44" t="str">
        <f t="shared" si="0"/>
        <v/>
      </c>
    </row>
    <row r="45" spans="1:32">
      <c r="AF45" t="str">
        <f t="shared" si="0"/>
        <v/>
      </c>
    </row>
    <row r="46" spans="1:32">
      <c r="AF46" t="str">
        <f t="shared" si="0"/>
        <v/>
      </c>
    </row>
    <row r="47" spans="1:32">
      <c r="AF47" t="str">
        <f t="shared" si="0"/>
        <v/>
      </c>
    </row>
    <row r="48" spans="1:32">
      <c r="AF48" t="str">
        <f t="shared" si="0"/>
        <v/>
      </c>
    </row>
    <row r="49" spans="32:32">
      <c r="AF49" t="str">
        <f t="shared" si="0"/>
        <v/>
      </c>
    </row>
    <row r="50" spans="32:32">
      <c r="AF50" t="str">
        <f t="shared" si="0"/>
        <v/>
      </c>
    </row>
    <row r="51" spans="32:32">
      <c r="AF51" t="str">
        <f t="shared" si="0"/>
        <v/>
      </c>
    </row>
    <row r="53" spans="32:32">
      <c r="AF53" t="str">
        <f t="shared" si="0"/>
        <v/>
      </c>
    </row>
    <row r="54" spans="32:32">
      <c r="AF54" t="str">
        <f t="shared" si="0"/>
        <v/>
      </c>
    </row>
    <row r="55" spans="32:32">
      <c r="AF55" t="str">
        <f t="shared" si="0"/>
        <v/>
      </c>
    </row>
    <row r="56" spans="32:32">
      <c r="AF56" t="str">
        <f t="shared" si="0"/>
        <v/>
      </c>
    </row>
    <row r="57" spans="32:32">
      <c r="AF57" t="str">
        <f t="shared" si="0"/>
        <v/>
      </c>
    </row>
    <row r="58" spans="32:32">
      <c r="AF58" t="str">
        <f t="shared" si="0"/>
        <v/>
      </c>
    </row>
    <row r="59" spans="32:32">
      <c r="AF59" t="str">
        <f t="shared" si="0"/>
        <v/>
      </c>
    </row>
    <row r="60" spans="32:32">
      <c r="AF60" t="str">
        <f t="shared" si="0"/>
        <v/>
      </c>
    </row>
    <row r="61" spans="32:32">
      <c r="AF61" t="str">
        <f t="shared" si="0"/>
        <v/>
      </c>
    </row>
    <row r="62" spans="32:32">
      <c r="AF62" t="str">
        <f t="shared" si="0"/>
        <v/>
      </c>
    </row>
    <row r="63" spans="32:32">
      <c r="AF63" t="str">
        <f t="shared" si="0"/>
        <v/>
      </c>
    </row>
    <row r="64" spans="32:32">
      <c r="AF64" t="str">
        <f t="shared" si="0"/>
        <v/>
      </c>
    </row>
    <row r="65" spans="32:32">
      <c r="AF65" t="str">
        <f t="shared" si="0"/>
        <v/>
      </c>
    </row>
    <row r="66" spans="32:32">
      <c r="AF66" t="str">
        <f t="shared" si="0"/>
        <v/>
      </c>
    </row>
    <row r="67" spans="32:32">
      <c r="AF67" t="str">
        <f t="shared" si="0"/>
        <v/>
      </c>
    </row>
    <row r="68" spans="32:32">
      <c r="AF68" t="str">
        <f t="shared" si="0"/>
        <v/>
      </c>
    </row>
    <row r="69" spans="32:32">
      <c r="AF69" t="str">
        <f t="shared" ref="AF69:AF99" si="1">IF(B69&gt;0,SUM(B69:AE69),"")</f>
        <v/>
      </c>
    </row>
    <row r="70" spans="32:32">
      <c r="AF70" t="str">
        <f t="shared" si="1"/>
        <v/>
      </c>
    </row>
    <row r="71" spans="32:32">
      <c r="AF71" t="str">
        <f t="shared" si="1"/>
        <v/>
      </c>
    </row>
    <row r="72" spans="32:32">
      <c r="AF72" t="str">
        <f t="shared" si="1"/>
        <v/>
      </c>
    </row>
    <row r="73" spans="32:32">
      <c r="AF73" t="str">
        <f t="shared" si="1"/>
        <v/>
      </c>
    </row>
    <row r="74" spans="32:32">
      <c r="AF74" t="str">
        <f t="shared" si="1"/>
        <v/>
      </c>
    </row>
    <row r="75" spans="32:32">
      <c r="AF75" t="str">
        <f t="shared" si="1"/>
        <v/>
      </c>
    </row>
    <row r="76" spans="32:32">
      <c r="AF76" t="str">
        <f t="shared" si="1"/>
        <v/>
      </c>
    </row>
    <row r="77" spans="32:32">
      <c r="AF77" t="str">
        <f t="shared" si="1"/>
        <v/>
      </c>
    </row>
    <row r="78" spans="32:32">
      <c r="AF78" t="str">
        <f t="shared" si="1"/>
        <v/>
      </c>
    </row>
    <row r="79" spans="32:32">
      <c r="AF79" t="str">
        <f t="shared" si="1"/>
        <v/>
      </c>
    </row>
    <row r="80" spans="32:32">
      <c r="AF80" t="str">
        <f t="shared" si="1"/>
        <v/>
      </c>
    </row>
    <row r="81" spans="32:32">
      <c r="AF81" t="str">
        <f t="shared" si="1"/>
        <v/>
      </c>
    </row>
    <row r="82" spans="32:32">
      <c r="AF82" t="str">
        <f t="shared" si="1"/>
        <v/>
      </c>
    </row>
    <row r="83" spans="32:32">
      <c r="AF83" t="str">
        <f t="shared" si="1"/>
        <v/>
      </c>
    </row>
    <row r="84" spans="32:32">
      <c r="AF84" t="str">
        <f t="shared" si="1"/>
        <v/>
      </c>
    </row>
    <row r="85" spans="32:32">
      <c r="AF85" t="str">
        <f t="shared" si="1"/>
        <v/>
      </c>
    </row>
    <row r="86" spans="32:32">
      <c r="AF86" t="str">
        <f t="shared" si="1"/>
        <v/>
      </c>
    </row>
    <row r="87" spans="32:32">
      <c r="AF87" t="str">
        <f t="shared" si="1"/>
        <v/>
      </c>
    </row>
    <row r="88" spans="32:32">
      <c r="AF88" t="str">
        <f t="shared" si="1"/>
        <v/>
      </c>
    </row>
    <row r="89" spans="32:32">
      <c r="AF89" t="str">
        <f t="shared" si="1"/>
        <v/>
      </c>
    </row>
    <row r="90" spans="32:32">
      <c r="AF90" t="str">
        <f t="shared" si="1"/>
        <v/>
      </c>
    </row>
    <row r="91" spans="32:32">
      <c r="AF91" t="str">
        <f t="shared" si="1"/>
        <v/>
      </c>
    </row>
    <row r="92" spans="32:32">
      <c r="AF92" t="str">
        <f t="shared" si="1"/>
        <v/>
      </c>
    </row>
    <row r="93" spans="32:32">
      <c r="AF93" t="str">
        <f t="shared" si="1"/>
        <v/>
      </c>
    </row>
    <row r="94" spans="32:32">
      <c r="AF94" t="str">
        <f t="shared" si="1"/>
        <v/>
      </c>
    </row>
    <row r="95" spans="32:32">
      <c r="AF95" t="str">
        <f t="shared" si="1"/>
        <v/>
      </c>
    </row>
    <row r="96" spans="32:32">
      <c r="AF96" t="str">
        <f t="shared" si="1"/>
        <v/>
      </c>
    </row>
    <row r="97" spans="32:32">
      <c r="AF97" t="str">
        <f t="shared" si="1"/>
        <v/>
      </c>
    </row>
    <row r="98" spans="32:32">
      <c r="AF98" t="str">
        <f t="shared" si="1"/>
        <v/>
      </c>
    </row>
    <row r="99" spans="32:32">
      <c r="AF99" t="str">
        <f t="shared" si="1"/>
        <v/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2:AF100"/>
  <sheetViews>
    <sheetView topLeftCell="A43" workbookViewId="0">
      <selection activeCell="N6" sqref="N6"/>
    </sheetView>
  </sheetViews>
  <sheetFormatPr defaultRowHeight="12.75"/>
  <sheetData>
    <row r="2" spans="1:32">
      <c r="A2" t="s">
        <v>33</v>
      </c>
      <c r="D2" t="s">
        <v>3</v>
      </c>
      <c r="E2">
        <v>1</v>
      </c>
    </row>
    <row r="3" spans="1:32">
      <c r="A3" t="s">
        <v>0</v>
      </c>
      <c r="B3" s="6" t="s">
        <v>95</v>
      </c>
      <c r="C3" s="6" t="s">
        <v>4</v>
      </c>
      <c r="D3" s="6" t="s">
        <v>5</v>
      </c>
      <c r="E3" s="6" t="s">
        <v>6</v>
      </c>
      <c r="F3" s="6" t="s">
        <v>7</v>
      </c>
      <c r="G3" s="6" t="s">
        <v>8</v>
      </c>
      <c r="H3" s="6" t="s">
        <v>9</v>
      </c>
      <c r="I3" s="6" t="s">
        <v>10</v>
      </c>
      <c r="J3" s="6" t="s">
        <v>11</v>
      </c>
      <c r="K3" s="6" t="s">
        <v>12</v>
      </c>
      <c r="L3" s="6" t="s">
        <v>13</v>
      </c>
      <c r="M3" s="6" t="s">
        <v>94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6" t="s">
        <v>20</v>
      </c>
      <c r="U3" s="6" t="s">
        <v>21</v>
      </c>
      <c r="V3" s="6" t="s">
        <v>22</v>
      </c>
      <c r="W3" s="6" t="s">
        <v>23</v>
      </c>
      <c r="X3" s="6" t="s">
        <v>24</v>
      </c>
      <c r="Y3" s="6" t="s">
        <v>25</v>
      </c>
      <c r="Z3" s="6" t="s">
        <v>26</v>
      </c>
      <c r="AA3" s="6" t="s">
        <v>27</v>
      </c>
      <c r="AB3" s="6" t="s">
        <v>28</v>
      </c>
      <c r="AC3" s="6" t="s">
        <v>29</v>
      </c>
      <c r="AD3" s="6" t="s">
        <v>30</v>
      </c>
      <c r="AE3" s="6" t="s">
        <v>31</v>
      </c>
      <c r="AF3" t="s">
        <v>39</v>
      </c>
    </row>
    <row r="4" spans="1:32">
      <c r="A4">
        <v>1970</v>
      </c>
      <c r="B4">
        <v>361290</v>
      </c>
      <c r="C4">
        <v>2229482</v>
      </c>
      <c r="D4">
        <v>607301</v>
      </c>
      <c r="E4">
        <v>650369</v>
      </c>
      <c r="F4">
        <v>335068</v>
      </c>
      <c r="G4">
        <v>85575</v>
      </c>
      <c r="AF4">
        <f>IF(B4&gt;0,SUM(B4:AE4),"" )</f>
        <v>4269085</v>
      </c>
    </row>
    <row r="5" spans="1:32">
      <c r="A5">
        <v>1971</v>
      </c>
      <c r="B5">
        <v>344448</v>
      </c>
      <c r="C5">
        <v>1977021</v>
      </c>
      <c r="D5">
        <v>1287353</v>
      </c>
      <c r="E5">
        <v>474486</v>
      </c>
      <c r="F5">
        <v>293744</v>
      </c>
      <c r="G5">
        <v>72602</v>
      </c>
      <c r="AF5">
        <f t="shared" ref="AF5:AF68" si="0">IF(B5&gt;0,SUM(B5:AE5),"" )</f>
        <v>4449654</v>
      </c>
    </row>
    <row r="6" spans="1:32">
      <c r="A6">
        <v>1972</v>
      </c>
      <c r="B6">
        <v>370595</v>
      </c>
      <c r="C6">
        <v>2052767</v>
      </c>
      <c r="D6">
        <v>1492978</v>
      </c>
      <c r="E6">
        <v>786068</v>
      </c>
      <c r="F6">
        <v>289931</v>
      </c>
      <c r="G6">
        <v>91172</v>
      </c>
      <c r="AF6">
        <f t="shared" si="0"/>
        <v>5083511</v>
      </c>
    </row>
    <row r="7" spans="1:32">
      <c r="A7">
        <v>1973</v>
      </c>
      <c r="B7">
        <v>243206</v>
      </c>
      <c r="C7">
        <v>1577104</v>
      </c>
      <c r="D7">
        <v>1251198</v>
      </c>
      <c r="E7">
        <v>811921</v>
      </c>
      <c r="F7">
        <v>370436</v>
      </c>
      <c r="G7">
        <v>103603</v>
      </c>
      <c r="AF7">
        <f t="shared" si="0"/>
        <v>4357468</v>
      </c>
    </row>
    <row r="8" spans="1:32">
      <c r="A8">
        <v>1974</v>
      </c>
      <c r="B8">
        <v>886952</v>
      </c>
      <c r="C8">
        <v>2496615</v>
      </c>
      <c r="D8">
        <v>1274896</v>
      </c>
      <c r="E8">
        <v>897957</v>
      </c>
      <c r="F8">
        <v>403301</v>
      </c>
      <c r="G8">
        <v>115146</v>
      </c>
      <c r="AF8">
        <f t="shared" si="0"/>
        <v>6074867</v>
      </c>
    </row>
    <row r="9" spans="1:32">
      <c r="A9">
        <v>1975</v>
      </c>
      <c r="B9">
        <v>1850686</v>
      </c>
      <c r="C9">
        <v>2801854</v>
      </c>
      <c r="D9">
        <v>1719568</v>
      </c>
      <c r="E9">
        <v>842170</v>
      </c>
      <c r="F9">
        <v>602660</v>
      </c>
      <c r="G9">
        <v>162022</v>
      </c>
      <c r="AF9">
        <f t="shared" si="0"/>
        <v>7978960</v>
      </c>
    </row>
    <row r="10" spans="1:32">
      <c r="A10">
        <v>1976</v>
      </c>
      <c r="B10">
        <v>2183572</v>
      </c>
      <c r="C10">
        <v>3635133</v>
      </c>
      <c r="D10">
        <v>1388487</v>
      </c>
      <c r="E10">
        <v>867883</v>
      </c>
      <c r="F10">
        <v>547868</v>
      </c>
      <c r="G10">
        <v>148267</v>
      </c>
      <c r="AF10">
        <f t="shared" si="0"/>
        <v>8771210</v>
      </c>
    </row>
    <row r="11" spans="1:32">
      <c r="A11">
        <v>1977</v>
      </c>
      <c r="B11">
        <v>1488116</v>
      </c>
      <c r="C11">
        <v>4057058</v>
      </c>
      <c r="D11">
        <v>1711726</v>
      </c>
      <c r="E11">
        <v>970685</v>
      </c>
      <c r="F11">
        <v>504842</v>
      </c>
      <c r="G11">
        <v>105140</v>
      </c>
      <c r="AF11">
        <f t="shared" si="0"/>
        <v>8837567</v>
      </c>
    </row>
    <row r="12" spans="1:32">
      <c r="A12">
        <v>1978</v>
      </c>
      <c r="B12">
        <v>1592943</v>
      </c>
      <c r="C12">
        <v>3664928</v>
      </c>
      <c r="D12">
        <v>1963323</v>
      </c>
      <c r="E12">
        <v>1155362</v>
      </c>
      <c r="F12">
        <v>441937</v>
      </c>
      <c r="G12">
        <v>60903</v>
      </c>
      <c r="AF12">
        <f t="shared" si="0"/>
        <v>8879396</v>
      </c>
    </row>
    <row r="13" spans="1:32">
      <c r="A13">
        <v>1979</v>
      </c>
      <c r="B13">
        <v>2028285</v>
      </c>
      <c r="C13">
        <v>3775358</v>
      </c>
      <c r="D13">
        <v>1022740</v>
      </c>
      <c r="E13">
        <v>1156845</v>
      </c>
      <c r="F13">
        <v>537482</v>
      </c>
      <c r="G13">
        <v>73775</v>
      </c>
      <c r="AF13">
        <f t="shared" si="0"/>
        <v>8594485</v>
      </c>
    </row>
    <row r="14" spans="1:32">
      <c r="A14">
        <v>1980</v>
      </c>
      <c r="B14">
        <v>3200008</v>
      </c>
      <c r="C14">
        <v>4016663</v>
      </c>
      <c r="D14">
        <v>1247358</v>
      </c>
      <c r="E14">
        <v>972350</v>
      </c>
      <c r="F14">
        <v>532110</v>
      </c>
      <c r="G14">
        <v>83719</v>
      </c>
      <c r="AF14">
        <f t="shared" si="0"/>
        <v>10052208</v>
      </c>
    </row>
    <row r="15" spans="1:32">
      <c r="A15">
        <v>1981</v>
      </c>
      <c r="B15">
        <v>6758071</v>
      </c>
      <c r="C15">
        <v>4062149</v>
      </c>
      <c r="D15">
        <v>1479983</v>
      </c>
      <c r="E15">
        <v>926044</v>
      </c>
      <c r="F15">
        <v>810154</v>
      </c>
      <c r="G15">
        <v>139639</v>
      </c>
      <c r="AF15">
        <f t="shared" si="0"/>
        <v>14176040</v>
      </c>
    </row>
    <row r="16" spans="1:32">
      <c r="A16">
        <v>1982</v>
      </c>
      <c r="B16">
        <v>2657563</v>
      </c>
      <c r="C16">
        <v>6800765</v>
      </c>
      <c r="D16">
        <v>1379253</v>
      </c>
      <c r="E16">
        <v>1214320</v>
      </c>
      <c r="F16">
        <v>710570</v>
      </c>
      <c r="G16">
        <v>142131</v>
      </c>
      <c r="AF16">
        <f t="shared" si="0"/>
        <v>12904602</v>
      </c>
    </row>
    <row r="17" spans="1:32">
      <c r="A17">
        <v>1983</v>
      </c>
      <c r="B17">
        <v>4323476</v>
      </c>
      <c r="C17">
        <v>4680819</v>
      </c>
      <c r="D17">
        <v>1680974</v>
      </c>
      <c r="E17">
        <v>1290371</v>
      </c>
      <c r="F17">
        <v>704840</v>
      </c>
      <c r="G17">
        <v>128569</v>
      </c>
      <c r="AF17">
        <f t="shared" si="0"/>
        <v>12809049</v>
      </c>
    </row>
    <row r="18" spans="1:32">
      <c r="A18">
        <v>1984</v>
      </c>
      <c r="B18">
        <v>2901125</v>
      </c>
      <c r="C18">
        <v>6946804</v>
      </c>
      <c r="D18">
        <v>1953147</v>
      </c>
      <c r="E18">
        <v>861417</v>
      </c>
      <c r="F18">
        <v>211065</v>
      </c>
      <c r="G18">
        <v>30274</v>
      </c>
      <c r="AF18">
        <f t="shared" si="0"/>
        <v>12903832</v>
      </c>
    </row>
    <row r="19" spans="1:32">
      <c r="A19">
        <v>1985</v>
      </c>
      <c r="B19">
        <v>4268983</v>
      </c>
      <c r="C19">
        <v>4165569</v>
      </c>
      <c r="D19">
        <v>2143130</v>
      </c>
      <c r="E19">
        <v>957578</v>
      </c>
      <c r="F19">
        <v>738008</v>
      </c>
      <c r="G19">
        <v>69106</v>
      </c>
      <c r="AF19">
        <f t="shared" si="0"/>
        <v>12342374</v>
      </c>
    </row>
    <row r="20" spans="1:32">
      <c r="A20">
        <v>1986</v>
      </c>
      <c r="B20">
        <v>3706439</v>
      </c>
      <c r="C20">
        <v>4362541</v>
      </c>
      <c r="D20">
        <v>1306129</v>
      </c>
      <c r="E20">
        <v>1351567</v>
      </c>
      <c r="F20">
        <v>586169</v>
      </c>
      <c r="G20">
        <v>68951</v>
      </c>
      <c r="AF20">
        <f t="shared" si="0"/>
        <v>11381796</v>
      </c>
    </row>
    <row r="21" spans="1:32">
      <c r="A21">
        <v>1987</v>
      </c>
      <c r="B21">
        <v>6280192</v>
      </c>
      <c r="C21">
        <v>4318997</v>
      </c>
      <c r="D21">
        <v>1513905</v>
      </c>
      <c r="E21">
        <v>1055188</v>
      </c>
      <c r="F21">
        <v>652139</v>
      </c>
      <c r="G21">
        <v>65881</v>
      </c>
      <c r="AF21">
        <f t="shared" si="0"/>
        <v>13886302</v>
      </c>
    </row>
    <row r="22" spans="1:32">
      <c r="A22">
        <v>1988</v>
      </c>
      <c r="B22">
        <v>5045170</v>
      </c>
      <c r="C22">
        <v>5018133</v>
      </c>
      <c r="D22">
        <v>1138051</v>
      </c>
      <c r="E22">
        <v>1362108</v>
      </c>
      <c r="F22">
        <v>479093</v>
      </c>
      <c r="G22">
        <v>44092</v>
      </c>
      <c r="AF22">
        <f t="shared" si="0"/>
        <v>13086647</v>
      </c>
    </row>
    <row r="23" spans="1:32">
      <c r="A23">
        <v>1989</v>
      </c>
      <c r="B23">
        <v>5844442</v>
      </c>
      <c r="C23">
        <v>4139343</v>
      </c>
      <c r="D23">
        <v>946698</v>
      </c>
      <c r="E23">
        <v>1212904</v>
      </c>
      <c r="F23">
        <v>945449</v>
      </c>
      <c r="G23">
        <v>121843</v>
      </c>
      <c r="AF23">
        <f t="shared" si="0"/>
        <v>13210679</v>
      </c>
    </row>
    <row r="24" spans="1:32">
      <c r="A24">
        <v>1990</v>
      </c>
      <c r="B24">
        <v>6840077</v>
      </c>
      <c r="C24">
        <v>5910204</v>
      </c>
      <c r="D24">
        <v>977104</v>
      </c>
      <c r="E24">
        <v>1354542</v>
      </c>
      <c r="F24">
        <v>1052048</v>
      </c>
      <c r="G24">
        <v>177816</v>
      </c>
      <c r="AF24">
        <f t="shared" si="0"/>
        <v>16311791</v>
      </c>
    </row>
    <row r="25" spans="1:32">
      <c r="A25">
        <v>1991</v>
      </c>
      <c r="B25">
        <v>6313402</v>
      </c>
      <c r="C25">
        <v>5500947</v>
      </c>
      <c r="D25">
        <v>1181880</v>
      </c>
      <c r="E25">
        <v>1108701</v>
      </c>
      <c r="F25">
        <v>832673</v>
      </c>
      <c r="G25">
        <v>126849</v>
      </c>
      <c r="AF25">
        <f t="shared" si="0"/>
        <v>15064452</v>
      </c>
    </row>
    <row r="26" spans="1:32">
      <c r="A26">
        <v>1992</v>
      </c>
      <c r="B26">
        <v>6170239</v>
      </c>
      <c r="C26">
        <v>5029419</v>
      </c>
      <c r="D26">
        <v>1236534</v>
      </c>
      <c r="E26">
        <v>1294467</v>
      </c>
      <c r="F26">
        <v>780051</v>
      </c>
      <c r="G26">
        <v>124612</v>
      </c>
      <c r="AF26">
        <f t="shared" si="0"/>
        <v>14635322</v>
      </c>
    </row>
    <row r="27" spans="1:32">
      <c r="A27">
        <v>1993</v>
      </c>
      <c r="B27">
        <v>8654594</v>
      </c>
      <c r="C27">
        <v>5382283</v>
      </c>
      <c r="D27">
        <v>1528458</v>
      </c>
      <c r="E27">
        <v>1371075</v>
      </c>
      <c r="F27">
        <v>745384</v>
      </c>
      <c r="G27">
        <v>81507</v>
      </c>
      <c r="AF27">
        <f t="shared" si="0"/>
        <v>17763301</v>
      </c>
    </row>
    <row r="28" spans="1:32">
      <c r="A28">
        <v>1994</v>
      </c>
      <c r="B28">
        <v>4983084</v>
      </c>
      <c r="C28">
        <v>6443400</v>
      </c>
      <c r="D28">
        <v>2198100</v>
      </c>
      <c r="E28">
        <v>1089902</v>
      </c>
      <c r="F28">
        <v>762615</v>
      </c>
      <c r="G28">
        <v>100493</v>
      </c>
      <c r="AF28">
        <f t="shared" si="0"/>
        <v>15577594</v>
      </c>
    </row>
    <row r="29" spans="1:32">
      <c r="A29">
        <v>1995</v>
      </c>
      <c r="B29">
        <v>5210909</v>
      </c>
      <c r="C29">
        <v>4889679</v>
      </c>
      <c r="D29">
        <v>1543835</v>
      </c>
      <c r="E29">
        <v>1000446</v>
      </c>
      <c r="F29">
        <v>724878</v>
      </c>
      <c r="G29">
        <v>82982</v>
      </c>
      <c r="AF29">
        <f t="shared" si="0"/>
        <v>13452729</v>
      </c>
    </row>
    <row r="30" spans="1:32">
      <c r="A30">
        <v>1996</v>
      </c>
      <c r="B30">
        <v>5415623</v>
      </c>
      <c r="C30">
        <v>5453178</v>
      </c>
      <c r="D30">
        <v>1306456</v>
      </c>
      <c r="E30">
        <v>1144517</v>
      </c>
      <c r="F30">
        <v>699652</v>
      </c>
      <c r="G30">
        <v>77460</v>
      </c>
      <c r="AF30">
        <f t="shared" si="0"/>
        <v>14096886</v>
      </c>
    </row>
    <row r="31" spans="1:32">
      <c r="A31">
        <v>1997</v>
      </c>
      <c r="B31">
        <v>5109588</v>
      </c>
      <c r="C31">
        <v>6051401</v>
      </c>
      <c r="D31">
        <v>1090160</v>
      </c>
      <c r="E31">
        <v>805058</v>
      </c>
      <c r="F31">
        <v>697640</v>
      </c>
      <c r="G31">
        <v>81796</v>
      </c>
      <c r="AF31">
        <f t="shared" si="0"/>
        <v>13835643</v>
      </c>
    </row>
    <row r="32" spans="1:32">
      <c r="A32">
        <v>1998</v>
      </c>
      <c r="B32">
        <v>5261746</v>
      </c>
      <c r="C32">
        <v>7237372</v>
      </c>
      <c r="D32">
        <v>1260581</v>
      </c>
      <c r="E32">
        <v>828678</v>
      </c>
      <c r="F32">
        <v>716679</v>
      </c>
      <c r="G32">
        <v>132870</v>
      </c>
      <c r="AF32">
        <f t="shared" si="0"/>
        <v>15437926</v>
      </c>
    </row>
    <row r="33" spans="1:32">
      <c r="A33">
        <v>1999</v>
      </c>
      <c r="B33">
        <v>6104314</v>
      </c>
      <c r="C33">
        <v>11684800</v>
      </c>
      <c r="D33">
        <v>1722161</v>
      </c>
      <c r="E33">
        <v>797909</v>
      </c>
      <c r="F33">
        <v>524019</v>
      </c>
      <c r="G33">
        <v>96085</v>
      </c>
      <c r="AF33">
        <f t="shared" si="0"/>
        <v>20929288</v>
      </c>
    </row>
    <row r="34" spans="1:32">
      <c r="A34">
        <v>2000</v>
      </c>
      <c r="B34">
        <v>8362333</v>
      </c>
      <c r="C34">
        <v>5878954</v>
      </c>
      <c r="D34">
        <v>1274923</v>
      </c>
      <c r="E34">
        <v>1133947</v>
      </c>
      <c r="F34">
        <v>475691</v>
      </c>
      <c r="G34">
        <v>100301</v>
      </c>
      <c r="AF34">
        <f t="shared" si="0"/>
        <v>17226149</v>
      </c>
    </row>
    <row r="35" spans="1:32">
      <c r="A35">
        <v>2001</v>
      </c>
      <c r="B35">
        <v>7465211</v>
      </c>
      <c r="C35">
        <v>10065910</v>
      </c>
      <c r="D35">
        <v>1576328</v>
      </c>
      <c r="E35">
        <v>1271341</v>
      </c>
      <c r="F35">
        <v>534448</v>
      </c>
      <c r="G35">
        <v>117632</v>
      </c>
      <c r="AF35">
        <f t="shared" si="0"/>
        <v>21030870</v>
      </c>
    </row>
    <row r="36" spans="1:32">
      <c r="A36">
        <v>2002</v>
      </c>
      <c r="B36">
        <v>7175201</v>
      </c>
      <c r="C36">
        <v>8115388</v>
      </c>
      <c r="D36">
        <v>952183</v>
      </c>
      <c r="E36">
        <v>882558</v>
      </c>
      <c r="F36">
        <v>613958</v>
      </c>
      <c r="G36">
        <v>76429</v>
      </c>
      <c r="AF36">
        <f t="shared" si="0"/>
        <v>17815717</v>
      </c>
    </row>
    <row r="37" spans="1:32">
      <c r="A37">
        <v>2003</v>
      </c>
      <c r="B37">
        <v>6879341</v>
      </c>
      <c r="C37">
        <v>7202107</v>
      </c>
      <c r="D37">
        <v>1008228</v>
      </c>
      <c r="E37">
        <v>764832</v>
      </c>
      <c r="F37">
        <v>507098</v>
      </c>
      <c r="G37">
        <v>107459</v>
      </c>
      <c r="AF37">
        <f t="shared" si="0"/>
        <v>16469065</v>
      </c>
    </row>
    <row r="38" spans="1:32">
      <c r="A38">
        <v>2004</v>
      </c>
      <c r="B38">
        <v>7118910</v>
      </c>
      <c r="C38">
        <v>5801751</v>
      </c>
      <c r="D38">
        <v>1149694</v>
      </c>
      <c r="E38">
        <v>874474</v>
      </c>
      <c r="F38">
        <v>360014</v>
      </c>
      <c r="G38">
        <v>114175</v>
      </c>
      <c r="AF38">
        <f t="shared" si="0"/>
        <v>15419018</v>
      </c>
    </row>
    <row r="39" spans="1:32">
      <c r="A39">
        <v>2005</v>
      </c>
      <c r="B39">
        <v>5792990</v>
      </c>
      <c r="C39">
        <v>6796869</v>
      </c>
      <c r="D39">
        <v>895413</v>
      </c>
      <c r="E39">
        <v>573610</v>
      </c>
      <c r="F39">
        <v>446518</v>
      </c>
      <c r="G39">
        <v>86079</v>
      </c>
      <c r="AF39">
        <f t="shared" si="0"/>
        <v>14591479</v>
      </c>
    </row>
    <row r="40" spans="1:32">
      <c r="A40">
        <v>2006</v>
      </c>
      <c r="B40">
        <v>4628314</v>
      </c>
      <c r="C40">
        <v>3926747</v>
      </c>
      <c r="D40">
        <v>1232116</v>
      </c>
      <c r="E40">
        <v>759365</v>
      </c>
      <c r="F40">
        <v>382044</v>
      </c>
      <c r="G40">
        <v>98240</v>
      </c>
      <c r="AF40">
        <f t="shared" si="0"/>
        <v>11026826</v>
      </c>
    </row>
    <row r="41" spans="1:32">
      <c r="AF41" t="str">
        <f t="shared" si="0"/>
        <v/>
      </c>
    </row>
    <row r="42" spans="1:32">
      <c r="AF42" t="str">
        <f t="shared" si="0"/>
        <v/>
      </c>
    </row>
    <row r="43" spans="1:32">
      <c r="AF43" t="str">
        <f t="shared" si="0"/>
        <v/>
      </c>
    </row>
    <row r="44" spans="1:32">
      <c r="AF44" t="str">
        <f t="shared" si="0"/>
        <v/>
      </c>
    </row>
    <row r="45" spans="1:32">
      <c r="AF45" t="str">
        <f t="shared" si="0"/>
        <v/>
      </c>
    </row>
    <row r="46" spans="1:32">
      <c r="AF46" t="str">
        <f t="shared" si="0"/>
        <v/>
      </c>
    </row>
    <row r="47" spans="1:32">
      <c r="AF47" t="str">
        <f t="shared" si="0"/>
        <v/>
      </c>
    </row>
    <row r="48" spans="1:32">
      <c r="AF48" t="str">
        <f t="shared" si="0"/>
        <v/>
      </c>
    </row>
    <row r="49" spans="32:32">
      <c r="AF49" t="str">
        <f t="shared" si="0"/>
        <v/>
      </c>
    </row>
    <row r="50" spans="32:32">
      <c r="AF50" t="str">
        <f t="shared" si="0"/>
        <v/>
      </c>
    </row>
    <row r="51" spans="32:32">
      <c r="AF51" t="str">
        <f t="shared" si="0"/>
        <v/>
      </c>
    </row>
    <row r="52" spans="32:32">
      <c r="AF52" t="str">
        <f t="shared" si="0"/>
        <v/>
      </c>
    </row>
    <row r="53" spans="32:32">
      <c r="AF53" t="str">
        <f t="shared" si="0"/>
        <v/>
      </c>
    </row>
    <row r="54" spans="32:32">
      <c r="AF54" t="str">
        <f t="shared" si="0"/>
        <v/>
      </c>
    </row>
    <row r="55" spans="32:32">
      <c r="AF55" t="str">
        <f t="shared" si="0"/>
        <v/>
      </c>
    </row>
    <row r="56" spans="32:32">
      <c r="AF56" t="str">
        <f t="shared" si="0"/>
        <v/>
      </c>
    </row>
    <row r="57" spans="32:32">
      <c r="AF57" t="str">
        <f t="shared" si="0"/>
        <v/>
      </c>
    </row>
    <row r="58" spans="32:32">
      <c r="AF58" t="str">
        <f t="shared" si="0"/>
        <v/>
      </c>
    </row>
    <row r="59" spans="32:32">
      <c r="AF59" t="str">
        <f t="shared" si="0"/>
        <v/>
      </c>
    </row>
    <row r="60" spans="32:32">
      <c r="AF60" t="str">
        <f t="shared" si="0"/>
        <v/>
      </c>
    </row>
    <row r="61" spans="32:32">
      <c r="AF61" t="str">
        <f t="shared" si="0"/>
        <v/>
      </c>
    </row>
    <row r="62" spans="32:32">
      <c r="AF62" t="str">
        <f t="shared" si="0"/>
        <v/>
      </c>
    </row>
    <row r="63" spans="32:32">
      <c r="AF63" t="str">
        <f t="shared" si="0"/>
        <v/>
      </c>
    </row>
    <row r="64" spans="32:32">
      <c r="AF64" t="str">
        <f t="shared" si="0"/>
        <v/>
      </c>
    </row>
    <row r="65" spans="32:32">
      <c r="AF65" t="str">
        <f t="shared" si="0"/>
        <v/>
      </c>
    </row>
    <row r="66" spans="32:32">
      <c r="AF66" t="str">
        <f t="shared" si="0"/>
        <v/>
      </c>
    </row>
    <row r="67" spans="32:32">
      <c r="AF67" t="str">
        <f t="shared" si="0"/>
        <v/>
      </c>
    </row>
    <row r="68" spans="32:32">
      <c r="AF68" t="str">
        <f t="shared" si="0"/>
        <v/>
      </c>
    </row>
    <row r="69" spans="32:32">
      <c r="AF69" t="str">
        <f t="shared" ref="AF69:AF100" si="1">IF(B69&gt;0,SUM(B69:AE69),"" )</f>
        <v/>
      </c>
    </row>
    <row r="70" spans="32:32">
      <c r="AF70" t="str">
        <f t="shared" si="1"/>
        <v/>
      </c>
    </row>
    <row r="71" spans="32:32">
      <c r="AF71" t="str">
        <f t="shared" si="1"/>
        <v/>
      </c>
    </row>
    <row r="72" spans="32:32">
      <c r="AF72" t="str">
        <f t="shared" si="1"/>
        <v/>
      </c>
    </row>
    <row r="73" spans="32:32">
      <c r="AF73" t="str">
        <f t="shared" si="1"/>
        <v/>
      </c>
    </row>
    <row r="74" spans="32:32">
      <c r="AF74" t="str">
        <f t="shared" si="1"/>
        <v/>
      </c>
    </row>
    <row r="75" spans="32:32">
      <c r="AF75" t="str">
        <f t="shared" si="1"/>
        <v/>
      </c>
    </row>
    <row r="76" spans="32:32">
      <c r="AF76" t="str">
        <f t="shared" si="1"/>
        <v/>
      </c>
    </row>
    <row r="77" spans="32:32">
      <c r="AF77" t="str">
        <f t="shared" si="1"/>
        <v/>
      </c>
    </row>
    <row r="78" spans="32:32">
      <c r="AF78" t="str">
        <f t="shared" si="1"/>
        <v/>
      </c>
    </row>
    <row r="79" spans="32:32">
      <c r="AF79" t="str">
        <f t="shared" si="1"/>
        <v/>
      </c>
    </row>
    <row r="80" spans="32:32">
      <c r="AF80" t="str">
        <f t="shared" si="1"/>
        <v/>
      </c>
    </row>
    <row r="81" spans="32:32">
      <c r="AF81" t="str">
        <f t="shared" si="1"/>
        <v/>
      </c>
    </row>
    <row r="82" spans="32:32">
      <c r="AF82" t="str">
        <f t="shared" si="1"/>
        <v/>
      </c>
    </row>
    <row r="83" spans="32:32">
      <c r="AF83" t="str">
        <f t="shared" si="1"/>
        <v/>
      </c>
    </row>
    <row r="84" spans="32:32">
      <c r="AF84" t="str">
        <f t="shared" si="1"/>
        <v/>
      </c>
    </row>
    <row r="85" spans="32:32">
      <c r="AF85" t="str">
        <f t="shared" si="1"/>
        <v/>
      </c>
    </row>
    <row r="86" spans="32:32">
      <c r="AF86" t="str">
        <f t="shared" si="1"/>
        <v/>
      </c>
    </row>
    <row r="87" spans="32:32">
      <c r="AF87" t="str">
        <f t="shared" si="1"/>
        <v/>
      </c>
    </row>
    <row r="88" spans="32:32">
      <c r="AF88" t="str">
        <f t="shared" si="1"/>
        <v/>
      </c>
    </row>
    <row r="89" spans="32:32">
      <c r="AF89" t="str">
        <f t="shared" si="1"/>
        <v/>
      </c>
    </row>
    <row r="90" spans="32:32">
      <c r="AF90" t="str">
        <f t="shared" si="1"/>
        <v/>
      </c>
    </row>
    <row r="91" spans="32:32">
      <c r="AF91" t="str">
        <f t="shared" si="1"/>
        <v/>
      </c>
    </row>
    <row r="92" spans="32:32">
      <c r="AF92" t="str">
        <f t="shared" si="1"/>
        <v/>
      </c>
    </row>
    <row r="93" spans="32:32">
      <c r="AF93" t="str">
        <f t="shared" si="1"/>
        <v/>
      </c>
    </row>
    <row r="94" spans="32:32">
      <c r="AF94" t="str">
        <f t="shared" si="1"/>
        <v/>
      </c>
    </row>
    <row r="95" spans="32:32">
      <c r="AF95" t="str">
        <f t="shared" si="1"/>
        <v/>
      </c>
    </row>
    <row r="96" spans="32:32">
      <c r="AF96" t="str">
        <f t="shared" si="1"/>
        <v/>
      </c>
    </row>
    <row r="97" spans="32:32">
      <c r="AF97" t="str">
        <f t="shared" si="1"/>
        <v/>
      </c>
    </row>
    <row r="98" spans="32:32">
      <c r="AF98" t="str">
        <f t="shared" si="1"/>
        <v/>
      </c>
    </row>
    <row r="99" spans="32:32">
      <c r="AF99" t="str">
        <f t="shared" si="1"/>
        <v/>
      </c>
    </row>
    <row r="100" spans="32:32">
      <c r="AF100" t="str">
        <f t="shared" si="1"/>
        <v/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AC40"/>
  <sheetViews>
    <sheetView zoomScale="75" workbookViewId="0">
      <selection activeCell="M35" sqref="M35"/>
    </sheetView>
  </sheetViews>
  <sheetFormatPr defaultRowHeight="12.75"/>
  <cols>
    <col min="2" max="2" width="17.42578125" customWidth="1"/>
  </cols>
  <sheetData>
    <row r="1" spans="1:29">
      <c r="AA1" s="6"/>
    </row>
    <row r="2" spans="1:29">
      <c r="A2" t="s">
        <v>34</v>
      </c>
      <c r="D2" t="s">
        <v>35</v>
      </c>
      <c r="E2">
        <v>1</v>
      </c>
    </row>
    <row r="3" spans="1:29">
      <c r="A3" t="s">
        <v>0</v>
      </c>
      <c r="B3" t="s">
        <v>37</v>
      </c>
      <c r="C3" t="s">
        <v>36</v>
      </c>
      <c r="AA3" s="6"/>
      <c r="AB3" s="6"/>
      <c r="AC3" s="6"/>
    </row>
    <row r="4" spans="1:29">
      <c r="A4">
        <v>1970</v>
      </c>
      <c r="B4">
        <v>154261</v>
      </c>
      <c r="C4">
        <v>44231070</v>
      </c>
    </row>
    <row r="5" spans="1:29">
      <c r="A5">
        <v>1971</v>
      </c>
      <c r="B5">
        <v>150946</v>
      </c>
      <c r="C5">
        <v>45651799</v>
      </c>
    </row>
    <row r="6" spans="1:29">
      <c r="A6">
        <v>1972</v>
      </c>
      <c r="B6">
        <v>170812</v>
      </c>
      <c r="C6">
        <v>39795295</v>
      </c>
    </row>
    <row r="7" spans="1:29">
      <c r="A7">
        <v>1973</v>
      </c>
      <c r="B7">
        <v>178555</v>
      </c>
      <c r="C7">
        <v>43801670</v>
      </c>
    </row>
    <row r="8" spans="1:29">
      <c r="A8">
        <v>1974</v>
      </c>
      <c r="B8">
        <v>187625</v>
      </c>
      <c r="C8">
        <v>45470565</v>
      </c>
    </row>
    <row r="9" spans="1:29">
      <c r="A9">
        <v>1975</v>
      </c>
      <c r="B9">
        <v>175156</v>
      </c>
      <c r="C9">
        <v>57293840</v>
      </c>
    </row>
    <row r="10" spans="1:29">
      <c r="A10">
        <v>1976</v>
      </c>
      <c r="B10">
        <v>149233</v>
      </c>
      <c r="C10">
        <v>62213229</v>
      </c>
    </row>
    <row r="11" spans="1:29">
      <c r="A11">
        <v>1977</v>
      </c>
      <c r="B11">
        <v>138974</v>
      </c>
      <c r="C11">
        <v>55977924</v>
      </c>
    </row>
    <row r="12" spans="1:29">
      <c r="A12">
        <v>1978</v>
      </c>
      <c r="B12">
        <v>153957</v>
      </c>
      <c r="C12">
        <v>52541031</v>
      </c>
    </row>
    <row r="13" spans="1:29">
      <c r="A13">
        <v>1979</v>
      </c>
      <c r="B13">
        <v>172693</v>
      </c>
      <c r="C13">
        <v>55595408</v>
      </c>
    </row>
    <row r="14" spans="1:29">
      <c r="A14">
        <v>1980</v>
      </c>
      <c r="B14">
        <v>189871</v>
      </c>
      <c r="C14">
        <v>49213505</v>
      </c>
    </row>
    <row r="15" spans="1:29">
      <c r="A15">
        <v>1981</v>
      </c>
      <c r="B15">
        <v>188866</v>
      </c>
      <c r="C15">
        <v>71134399</v>
      </c>
    </row>
    <row r="16" spans="1:29">
      <c r="A16">
        <v>1982</v>
      </c>
      <c r="B16">
        <v>170050</v>
      </c>
      <c r="C16">
        <v>58170110</v>
      </c>
    </row>
    <row r="17" spans="1:3">
      <c r="A17">
        <v>1983</v>
      </c>
      <c r="B17">
        <v>126361</v>
      </c>
      <c r="C17">
        <v>75448936</v>
      </c>
    </row>
    <row r="18" spans="1:3">
      <c r="A18">
        <v>1984</v>
      </c>
      <c r="B18">
        <v>120439</v>
      </c>
      <c r="C18">
        <v>57706541</v>
      </c>
    </row>
    <row r="19" spans="1:3">
      <c r="A19">
        <v>1985</v>
      </c>
      <c r="B19">
        <v>144786</v>
      </c>
      <c r="C19">
        <v>75458671</v>
      </c>
    </row>
    <row r="20" spans="1:3">
      <c r="A20">
        <v>1986</v>
      </c>
      <c r="B20">
        <v>155306</v>
      </c>
      <c r="C20">
        <v>68909667</v>
      </c>
    </row>
    <row r="21" spans="1:3">
      <c r="A21">
        <v>1987</v>
      </c>
      <c r="B21">
        <v>157134</v>
      </c>
      <c r="C21">
        <v>70226028</v>
      </c>
    </row>
    <row r="22" spans="1:3">
      <c r="A22">
        <v>1988</v>
      </c>
      <c r="B22">
        <v>208692</v>
      </c>
      <c r="C22">
        <v>59961091</v>
      </c>
    </row>
    <row r="23" spans="1:3">
      <c r="A23">
        <v>1989</v>
      </c>
      <c r="B23">
        <v>240610</v>
      </c>
      <c r="C23">
        <v>70868030</v>
      </c>
    </row>
    <row r="24" spans="1:3">
      <c r="A24">
        <v>1990</v>
      </c>
      <c r="B24">
        <v>227733</v>
      </c>
      <c r="C24">
        <v>71435876</v>
      </c>
    </row>
    <row r="25" spans="1:3">
      <c r="A25">
        <v>1991</v>
      </c>
      <c r="B25">
        <v>189606</v>
      </c>
      <c r="C25">
        <v>67626067</v>
      </c>
    </row>
    <row r="26" spans="1:3">
      <c r="A26">
        <v>1992</v>
      </c>
      <c r="B26">
        <v>185093</v>
      </c>
      <c r="C26">
        <v>72814110</v>
      </c>
    </row>
    <row r="27" spans="1:3">
      <c r="A27">
        <v>1993</v>
      </c>
      <c r="B27">
        <v>182576</v>
      </c>
      <c r="C27">
        <v>79871925</v>
      </c>
    </row>
    <row r="28" spans="1:3">
      <c r="A28">
        <v>1994</v>
      </c>
      <c r="B28">
        <v>171938</v>
      </c>
      <c r="C28">
        <v>62225590</v>
      </c>
    </row>
    <row r="29" spans="1:3">
      <c r="A29">
        <v>1995</v>
      </c>
      <c r="B29">
        <v>169956</v>
      </c>
      <c r="C29">
        <v>59834903</v>
      </c>
    </row>
    <row r="30" spans="1:3">
      <c r="A30">
        <v>1996</v>
      </c>
      <c r="B30">
        <v>187714</v>
      </c>
      <c r="C30">
        <v>61094390</v>
      </c>
    </row>
    <row r="31" spans="1:3">
      <c r="A31">
        <v>1997</v>
      </c>
      <c r="B31">
        <v>183662</v>
      </c>
      <c r="C31">
        <v>70644480</v>
      </c>
    </row>
    <row r="32" spans="1:3">
      <c r="A32">
        <v>1998</v>
      </c>
      <c r="B32">
        <v>175069</v>
      </c>
      <c r="C32">
        <v>88801745</v>
      </c>
    </row>
    <row r="33" spans="1:3">
      <c r="A33">
        <v>1999</v>
      </c>
      <c r="B33">
        <v>157455</v>
      </c>
      <c r="C33">
        <v>65684208</v>
      </c>
    </row>
    <row r="34" spans="1:3">
      <c r="A34">
        <v>2000</v>
      </c>
      <c r="B34">
        <v>162873</v>
      </c>
      <c r="C34">
        <v>69766112</v>
      </c>
    </row>
    <row r="35" spans="1:3">
      <c r="A35">
        <v>2001</v>
      </c>
      <c r="B35">
        <v>180958</v>
      </c>
      <c r="C35">
        <v>66438210</v>
      </c>
    </row>
    <row r="36" spans="1:3">
      <c r="A36">
        <v>2002</v>
      </c>
      <c r="B36">
        <v>168552</v>
      </c>
      <c r="C36">
        <v>56453409</v>
      </c>
    </row>
    <row r="37" spans="1:3">
      <c r="A37">
        <v>2003</v>
      </c>
      <c r="B37">
        <v>141996</v>
      </c>
      <c r="C37">
        <v>58769002</v>
      </c>
    </row>
    <row r="38" spans="1:3">
      <c r="A38">
        <v>2004</v>
      </c>
      <c r="B38">
        <v>132322</v>
      </c>
      <c r="C38">
        <v>60520122</v>
      </c>
    </row>
    <row r="39" spans="1:3">
      <c r="A39">
        <v>2005</v>
      </c>
      <c r="B39">
        <v>107609</v>
      </c>
      <c r="C39">
        <v>60420651</v>
      </c>
    </row>
    <row r="40" spans="1:3">
      <c r="A40">
        <v>2006</v>
      </c>
      <c r="B40">
        <v>117923</v>
      </c>
      <c r="C40">
        <v>59548555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HW100"/>
  <sheetViews>
    <sheetView topLeftCell="T40" zoomScale="60" zoomScaleNormal="60" workbookViewId="0">
      <selection activeCell="Z66" sqref="Z66"/>
    </sheetView>
  </sheetViews>
  <sheetFormatPr defaultRowHeight="12.75"/>
  <sheetData>
    <row r="1" spans="1:231" s="2" customFormat="1">
      <c r="A1" s="2" t="s">
        <v>75</v>
      </c>
      <c r="D1" s="2" t="str">
        <f>'Titles and Variables'!B16</f>
        <v>ATL</v>
      </c>
      <c r="F1" s="2" t="str">
        <f>'Titles and Variables'!C16</f>
        <v>BRA_BB</v>
      </c>
      <c r="O1" s="2" t="str">
        <f>'Titles and Variables'!B17</f>
        <v>ATL</v>
      </c>
      <c r="Q1" s="2" t="str">
        <f>'Titles and Variables'!C17</f>
        <v>BRA_LL</v>
      </c>
      <c r="Z1" s="2" t="str">
        <f>'Titles and Variables'!B18</f>
        <v>ATL</v>
      </c>
      <c r="AB1" s="2" t="str">
        <f>'Titles and Variables'!C18</f>
        <v>JPN_LL</v>
      </c>
      <c r="AL1" s="2" t="str">
        <f>'Titles and Variables'!B19</f>
        <v>ATL</v>
      </c>
      <c r="AN1" s="2" t="str">
        <f>'Titles and Variables'!C19</f>
        <v>USMEX_LL</v>
      </c>
      <c r="AX1" s="2" t="str">
        <f>'Titles and Variables'!B20</f>
        <v>ATL</v>
      </c>
      <c r="AZ1" s="2" t="str">
        <f>'Titles and Variables'!C20</f>
        <v>US_RR</v>
      </c>
      <c r="BJ1" s="2" t="str">
        <f>'Titles and Variables'!B21</f>
        <v>ATL</v>
      </c>
      <c r="BK1" s="2" t="str">
        <f>'Titles and Variables'!C21</f>
        <v>US_PLL ATL</v>
      </c>
      <c r="BV1" s="2" t="str">
        <f>'Titles and Variables'!B22</f>
        <v>ATL</v>
      </c>
      <c r="BW1" s="2" t="str">
        <f>'Titles and Variables'!C22</f>
        <v>VEN_LL</v>
      </c>
      <c r="CH1" s="2" t="str">
        <f>'Titles and Variables'!B23</f>
        <v>ATL</v>
      </c>
      <c r="CI1" s="2" t="str">
        <f>'Titles and Variables'!C23</f>
        <v>VEN_PS</v>
      </c>
      <c r="CT1" s="2" t="str">
        <f>'Titles and Variables'!B24</f>
        <v>ATL</v>
      </c>
      <c r="CU1" s="2" t="str">
        <f>'Titles and Variables'!C24</f>
        <v>EUR-FAD-PS</v>
      </c>
      <c r="DF1" s="2" t="str">
        <f>'Titles and Variables'!B25</f>
        <v>ATL</v>
      </c>
      <c r="DG1" s="2" t="str">
        <f>'Titles and Variables'!C25</f>
        <v>EUR-PS 3%</v>
      </c>
      <c r="DR1" s="2" t="str">
        <f>'Titles and Variables'!B26</f>
        <v>ATL</v>
      </c>
      <c r="DS1" s="2" t="str">
        <f>'Titles and Variables'!C26</f>
        <v>EU-DAKAR</v>
      </c>
      <c r="ED1" s="2" t="str">
        <f>'Titles and Variables'!B27</f>
        <v>ATL</v>
      </c>
      <c r="EE1" s="2" t="str">
        <f>'Titles and Variables'!C27</f>
        <v>URU-LL</v>
      </c>
      <c r="EP1" s="2" t="str">
        <f>'Titles and Variables'!B28</f>
        <v>ATL</v>
      </c>
      <c r="EQ1" s="2" t="str">
        <f>'Titles and Variables'!C28</f>
        <v>BRA-URU-LL</v>
      </c>
      <c r="FB1" s="2" t="str">
        <f>'Titles and Variables'!B29</f>
        <v>ATL</v>
      </c>
      <c r="FC1" s="2" t="str">
        <f>'Titles and Variables'!C29</f>
        <v>CHIN-TAI-LL</v>
      </c>
      <c r="FN1" s="2" t="str">
        <f>'Titles and Variables'!B30</f>
        <v>ATL</v>
      </c>
      <c r="FO1" s="2" t="str">
        <f>'Titles and Variables'!C30</f>
        <v>TROP-PS</v>
      </c>
      <c r="FZ1" s="2" t="str">
        <f>'Titles and Variables'!B31</f>
        <v>ATL</v>
      </c>
      <c r="GA1" s="2" t="str">
        <f>'Titles and Variables'!C31</f>
        <v>CAN-IS-BB</v>
      </c>
      <c r="GL1" s="2" t="str">
        <f>'Titles and Variables'!B32</f>
        <v>ATL</v>
      </c>
      <c r="GM1" s="2" t="str">
        <f>'Titles and Variables'!C32</f>
        <v>NOT-USED</v>
      </c>
      <c r="GX1" s="2" t="str">
        <f>'Titles and Variables'!B33</f>
        <v>ATL</v>
      </c>
      <c r="GY1" s="2" t="str">
        <f>'Titles and Variables'!C33</f>
        <v>NOT-USED</v>
      </c>
      <c r="HJ1" s="2" t="str">
        <f>'Titles and Variables'!B34</f>
        <v>ATL</v>
      </c>
      <c r="HK1" s="2" t="str">
        <f>'Titles and Variables'!C34</f>
        <v>NOT-USED</v>
      </c>
      <c r="HV1" s="2" t="str">
        <f>'Titles and Variables'!B35</f>
        <v>ATL</v>
      </c>
      <c r="HW1" s="2" t="str">
        <f>'Titles and Variables'!C35</f>
        <v>NOT-USED</v>
      </c>
    </row>
    <row r="2" spans="1:231">
      <c r="A2" t="s">
        <v>0</v>
      </c>
      <c r="B2" t="s">
        <v>40</v>
      </c>
      <c r="D2" t="s">
        <v>97</v>
      </c>
      <c r="E2" t="s">
        <v>98</v>
      </c>
      <c r="O2" t="s">
        <v>97</v>
      </c>
      <c r="P2" t="s">
        <v>98</v>
      </c>
      <c r="Z2" t="s">
        <v>97</v>
      </c>
      <c r="AA2" t="s">
        <v>98</v>
      </c>
      <c r="AL2" t="s">
        <v>97</v>
      </c>
      <c r="AM2" t="s">
        <v>98</v>
      </c>
      <c r="AX2" t="s">
        <v>97</v>
      </c>
      <c r="AY2" t="s">
        <v>98</v>
      </c>
      <c r="BJ2" t="s">
        <v>97</v>
      </c>
      <c r="BK2" t="s">
        <v>98</v>
      </c>
      <c r="BV2" t="s">
        <v>97</v>
      </c>
      <c r="BW2" t="s">
        <v>98</v>
      </c>
      <c r="CH2" t="s">
        <v>97</v>
      </c>
      <c r="CI2" t="s">
        <v>98</v>
      </c>
      <c r="CT2" t="s">
        <v>97</v>
      </c>
      <c r="CU2" t="s">
        <v>98</v>
      </c>
      <c r="DF2" t="s">
        <v>97</v>
      </c>
      <c r="DG2" t="s">
        <v>98</v>
      </c>
      <c r="DR2" t="s">
        <v>97</v>
      </c>
      <c r="DS2" t="s">
        <v>98</v>
      </c>
      <c r="ED2" t="s">
        <v>97</v>
      </c>
      <c r="EE2" t="s">
        <v>98</v>
      </c>
      <c r="EP2" t="s">
        <v>121</v>
      </c>
      <c r="EQ2" t="s">
        <v>122</v>
      </c>
      <c r="FB2" t="s">
        <v>97</v>
      </c>
      <c r="FC2" t="s">
        <v>98</v>
      </c>
      <c r="FN2" t="s">
        <v>97</v>
      </c>
      <c r="FO2" t="s">
        <v>98</v>
      </c>
      <c r="FZ2" t="s">
        <v>97</v>
      </c>
      <c r="GA2" t="s">
        <v>98</v>
      </c>
      <c r="GL2" t="s">
        <v>121</v>
      </c>
      <c r="GM2" t="s">
        <v>122</v>
      </c>
      <c r="GX2" t="s">
        <v>121</v>
      </c>
      <c r="GY2" t="s">
        <v>122</v>
      </c>
    </row>
    <row r="3" spans="1:231">
      <c r="A3">
        <f>'Titles and Variables'!B1</f>
        <v>1970</v>
      </c>
      <c r="B3">
        <v>0</v>
      </c>
      <c r="D3" t="s">
        <v>99</v>
      </c>
      <c r="E3">
        <v>6</v>
      </c>
      <c r="F3" t="s">
        <v>100</v>
      </c>
      <c r="O3" t="s">
        <v>99</v>
      </c>
      <c r="P3">
        <v>6</v>
      </c>
      <c r="Q3" t="s">
        <v>120</v>
      </c>
      <c r="Z3" t="s">
        <v>99</v>
      </c>
      <c r="AA3">
        <v>6</v>
      </c>
      <c r="AB3" t="s">
        <v>120</v>
      </c>
      <c r="AL3" t="s">
        <v>99</v>
      </c>
      <c r="AM3">
        <v>6</v>
      </c>
      <c r="AN3" t="s">
        <v>120</v>
      </c>
      <c r="AX3" t="s">
        <v>99</v>
      </c>
      <c r="AY3">
        <v>6</v>
      </c>
      <c r="AZ3" t="s">
        <v>120</v>
      </c>
      <c r="BJ3" t="s">
        <v>99</v>
      </c>
      <c r="BK3">
        <v>6</v>
      </c>
      <c r="BL3" t="s">
        <v>120</v>
      </c>
      <c r="BV3" t="s">
        <v>99</v>
      </c>
      <c r="BW3">
        <v>6</v>
      </c>
      <c r="BX3" t="s">
        <v>120</v>
      </c>
      <c r="CH3" t="s">
        <v>99</v>
      </c>
      <c r="CI3">
        <v>6</v>
      </c>
      <c r="CJ3" t="s">
        <v>100</v>
      </c>
      <c r="CT3" t="s">
        <v>99</v>
      </c>
      <c r="CU3">
        <v>6</v>
      </c>
      <c r="CV3" t="s">
        <v>100</v>
      </c>
      <c r="DF3" t="s">
        <v>99</v>
      </c>
      <c r="DG3">
        <v>6</v>
      </c>
      <c r="DH3" t="s">
        <v>100</v>
      </c>
      <c r="DR3" t="s">
        <v>99</v>
      </c>
      <c r="DS3">
        <v>6</v>
      </c>
      <c r="DT3" t="s">
        <v>100</v>
      </c>
      <c r="ED3" t="s">
        <v>99</v>
      </c>
      <c r="EE3">
        <v>6</v>
      </c>
      <c r="EF3" t="s">
        <v>120</v>
      </c>
      <c r="FB3" t="s">
        <v>99</v>
      </c>
      <c r="FC3">
        <v>6</v>
      </c>
      <c r="FD3" t="s">
        <v>120</v>
      </c>
      <c r="FN3" t="s">
        <v>99</v>
      </c>
      <c r="FO3">
        <v>6</v>
      </c>
      <c r="FP3" t="s">
        <v>120</v>
      </c>
      <c r="FZ3" t="s">
        <v>99</v>
      </c>
      <c r="GA3">
        <v>6</v>
      </c>
      <c r="GB3" t="s">
        <v>100</v>
      </c>
    </row>
    <row r="4" spans="1:231">
      <c r="A4">
        <f>A3+1</f>
        <v>1971</v>
      </c>
      <c r="B4">
        <v>0</v>
      </c>
      <c r="D4" t="s">
        <v>101</v>
      </c>
      <c r="E4">
        <v>0</v>
      </c>
      <c r="F4" t="s">
        <v>102</v>
      </c>
      <c r="G4">
        <v>4</v>
      </c>
      <c r="O4" t="s">
        <v>101</v>
      </c>
      <c r="P4">
        <v>0</v>
      </c>
      <c r="Q4" t="s">
        <v>102</v>
      </c>
      <c r="R4">
        <v>5</v>
      </c>
      <c r="Z4" t="s">
        <v>101</v>
      </c>
      <c r="AA4">
        <v>0</v>
      </c>
      <c r="AB4" t="s">
        <v>102</v>
      </c>
      <c r="AC4">
        <v>5</v>
      </c>
      <c r="AL4" t="s">
        <v>101</v>
      </c>
      <c r="AM4">
        <v>0</v>
      </c>
      <c r="AN4" t="s">
        <v>102</v>
      </c>
      <c r="AO4">
        <v>5</v>
      </c>
      <c r="AX4" t="s">
        <v>101</v>
      </c>
      <c r="AY4">
        <v>0</v>
      </c>
      <c r="AZ4" t="s">
        <v>102</v>
      </c>
      <c r="BA4">
        <v>5</v>
      </c>
      <c r="BJ4" t="s">
        <v>101</v>
      </c>
      <c r="BK4">
        <v>0</v>
      </c>
      <c r="BL4" t="s">
        <v>102</v>
      </c>
      <c r="BM4">
        <v>5</v>
      </c>
      <c r="BV4" t="s">
        <v>101</v>
      </c>
      <c r="BW4">
        <v>0</v>
      </c>
      <c r="BX4" t="s">
        <v>102</v>
      </c>
      <c r="BY4">
        <v>5</v>
      </c>
      <c r="CH4" t="s">
        <v>101</v>
      </c>
      <c r="CI4">
        <v>0</v>
      </c>
      <c r="CJ4" t="s">
        <v>102</v>
      </c>
      <c r="CK4">
        <v>4</v>
      </c>
      <c r="CT4" t="s">
        <v>101</v>
      </c>
      <c r="CU4">
        <v>0</v>
      </c>
      <c r="CV4" t="s">
        <v>102</v>
      </c>
      <c r="CW4">
        <v>1</v>
      </c>
      <c r="DF4" t="s">
        <v>101</v>
      </c>
      <c r="DG4">
        <v>0</v>
      </c>
      <c r="DH4" t="s">
        <v>102</v>
      </c>
      <c r="DI4">
        <v>5</v>
      </c>
      <c r="DR4" t="s">
        <v>101</v>
      </c>
      <c r="DS4">
        <v>0</v>
      </c>
      <c r="DT4" t="s">
        <v>102</v>
      </c>
      <c r="DU4">
        <v>4</v>
      </c>
      <c r="ED4" t="s">
        <v>101</v>
      </c>
      <c r="EE4">
        <v>0</v>
      </c>
      <c r="EF4" t="s">
        <v>102</v>
      </c>
      <c r="EG4">
        <v>5</v>
      </c>
      <c r="FB4" t="s">
        <v>101</v>
      </c>
      <c r="FC4">
        <v>0</v>
      </c>
      <c r="FD4" t="s">
        <v>102</v>
      </c>
      <c r="FE4">
        <v>5</v>
      </c>
      <c r="FN4" t="s">
        <v>101</v>
      </c>
      <c r="FO4">
        <v>3</v>
      </c>
      <c r="FP4" t="s">
        <v>102</v>
      </c>
      <c r="FQ4">
        <v>5</v>
      </c>
      <c r="FZ4" t="s">
        <v>101</v>
      </c>
      <c r="GA4">
        <v>0</v>
      </c>
      <c r="GB4" t="s">
        <v>102</v>
      </c>
      <c r="GC4">
        <v>4</v>
      </c>
    </row>
    <row r="5" spans="1:231">
      <c r="A5">
        <f t="shared" ref="A5:A45" si="0">A4+1</f>
        <v>1972</v>
      </c>
      <c r="B5">
        <v>0</v>
      </c>
      <c r="D5" t="s">
        <v>103</v>
      </c>
      <c r="E5" t="s">
        <v>104</v>
      </c>
      <c r="F5">
        <v>-0.98</v>
      </c>
      <c r="O5" t="s">
        <v>103</v>
      </c>
      <c r="P5" t="s">
        <v>104</v>
      </c>
      <c r="Q5">
        <v>3.74</v>
      </c>
      <c r="Z5" t="s">
        <v>103</v>
      </c>
      <c r="AA5" t="s">
        <v>104</v>
      </c>
      <c r="AB5">
        <v>6.15</v>
      </c>
      <c r="AL5" t="s">
        <v>103</v>
      </c>
      <c r="AM5" t="s">
        <v>104</v>
      </c>
      <c r="AN5">
        <v>4.3600000000000003</v>
      </c>
      <c r="AX5" t="s">
        <v>103</v>
      </c>
      <c r="AY5" t="s">
        <v>104</v>
      </c>
      <c r="AZ5">
        <v>-0.1</v>
      </c>
      <c r="BJ5" t="s">
        <v>103</v>
      </c>
      <c r="BK5" t="s">
        <v>104</v>
      </c>
      <c r="BL5">
        <v>5.63</v>
      </c>
      <c r="BV5" t="s">
        <v>103</v>
      </c>
      <c r="BW5" t="s">
        <v>104</v>
      </c>
      <c r="BX5">
        <v>2.08</v>
      </c>
      <c r="CH5" t="s">
        <v>103</v>
      </c>
      <c r="CI5" t="s">
        <v>104</v>
      </c>
      <c r="CJ5">
        <v>2.73</v>
      </c>
      <c r="CT5" t="s">
        <v>103</v>
      </c>
      <c r="CU5" t="s">
        <v>104</v>
      </c>
      <c r="CV5">
        <v>4.3499999999999996</v>
      </c>
      <c r="DF5" t="s">
        <v>103</v>
      </c>
      <c r="DG5" t="s">
        <v>104</v>
      </c>
      <c r="DH5">
        <v>3.37</v>
      </c>
      <c r="DR5" t="s">
        <v>103</v>
      </c>
      <c r="DS5" t="s">
        <v>104</v>
      </c>
      <c r="DT5">
        <v>2.31</v>
      </c>
      <c r="ED5" t="s">
        <v>103</v>
      </c>
      <c r="EE5" t="s">
        <v>104</v>
      </c>
      <c r="EF5">
        <v>1.84</v>
      </c>
      <c r="FB5" t="s">
        <v>103</v>
      </c>
      <c r="FC5" t="s">
        <v>104</v>
      </c>
      <c r="FD5">
        <v>10.25</v>
      </c>
      <c r="FN5" t="s">
        <v>103</v>
      </c>
      <c r="FO5" t="s">
        <v>104</v>
      </c>
      <c r="FP5">
        <v>6.06</v>
      </c>
      <c r="FZ5" t="s">
        <v>103</v>
      </c>
      <c r="GA5" t="s">
        <v>104</v>
      </c>
      <c r="GB5">
        <v>-103.65</v>
      </c>
    </row>
    <row r="6" spans="1:231">
      <c r="A6">
        <f t="shared" si="0"/>
        <v>1973</v>
      </c>
      <c r="B6">
        <v>0</v>
      </c>
      <c r="D6" t="s">
        <v>105</v>
      </c>
      <c r="E6" t="s">
        <v>104</v>
      </c>
      <c r="F6">
        <v>19.54</v>
      </c>
      <c r="O6" t="s">
        <v>105</v>
      </c>
      <c r="P6" t="s">
        <v>104</v>
      </c>
      <c r="Q6">
        <v>7.29</v>
      </c>
      <c r="Z6" t="s">
        <v>105</v>
      </c>
      <c r="AA6" t="s">
        <v>104</v>
      </c>
      <c r="AB6">
        <v>13.74</v>
      </c>
      <c r="AL6" t="s">
        <v>105</v>
      </c>
      <c r="AM6" t="s">
        <v>104</v>
      </c>
      <c r="AN6">
        <v>1.1299999999999999</v>
      </c>
      <c r="AX6" t="s">
        <v>105</v>
      </c>
      <c r="AY6" t="s">
        <v>104</v>
      </c>
      <c r="AZ6">
        <v>14.98</v>
      </c>
      <c r="BJ6" t="s">
        <v>105</v>
      </c>
      <c r="BK6" t="s">
        <v>104</v>
      </c>
      <c r="BL6">
        <v>2.8</v>
      </c>
      <c r="BV6" t="s">
        <v>105</v>
      </c>
      <c r="BW6" t="s">
        <v>104</v>
      </c>
      <c r="BX6">
        <v>3.58</v>
      </c>
      <c r="CH6" t="s">
        <v>105</v>
      </c>
      <c r="CI6" t="s">
        <v>104</v>
      </c>
      <c r="CJ6">
        <v>10.72</v>
      </c>
      <c r="CT6" t="s">
        <v>105</v>
      </c>
      <c r="CU6" t="s">
        <v>104</v>
      </c>
      <c r="CV6">
        <v>2.56</v>
      </c>
      <c r="DF6" t="s">
        <v>105</v>
      </c>
      <c r="DG6" t="s">
        <v>104</v>
      </c>
      <c r="DH6">
        <v>0.28999999999999998</v>
      </c>
      <c r="DR6" t="s">
        <v>105</v>
      </c>
      <c r="DS6" t="s">
        <v>104</v>
      </c>
      <c r="DT6">
        <v>20.72</v>
      </c>
      <c r="ED6" t="s">
        <v>105</v>
      </c>
      <c r="EE6" t="s">
        <v>104</v>
      </c>
      <c r="EF6">
        <v>14.62</v>
      </c>
      <c r="FB6" t="s">
        <v>105</v>
      </c>
      <c r="FC6" t="s">
        <v>104</v>
      </c>
      <c r="FD6">
        <v>5.53</v>
      </c>
      <c r="FN6" t="s">
        <v>105</v>
      </c>
      <c r="FO6" t="s">
        <v>104</v>
      </c>
      <c r="FP6">
        <v>6.89</v>
      </c>
      <c r="FZ6" t="s">
        <v>105</v>
      </c>
      <c r="GA6" t="s">
        <v>104</v>
      </c>
      <c r="GB6">
        <v>226.29</v>
      </c>
    </row>
    <row r="7" spans="1:231">
      <c r="A7">
        <f t="shared" si="0"/>
        <v>1974</v>
      </c>
      <c r="B7">
        <v>0</v>
      </c>
      <c r="D7" t="s">
        <v>106</v>
      </c>
      <c r="E7" t="s">
        <v>107</v>
      </c>
      <c r="F7">
        <v>24.42</v>
      </c>
      <c r="O7" t="s">
        <v>106</v>
      </c>
      <c r="P7" t="s">
        <v>107</v>
      </c>
      <c r="Q7">
        <v>3.58</v>
      </c>
      <c r="Z7" t="s">
        <v>106</v>
      </c>
      <c r="AA7" t="s">
        <v>107</v>
      </c>
      <c r="AB7">
        <v>8.24</v>
      </c>
      <c r="AL7" t="s">
        <v>106</v>
      </c>
      <c r="AM7" t="s">
        <v>107</v>
      </c>
      <c r="AN7">
        <v>1.5</v>
      </c>
      <c r="AX7" t="s">
        <v>106</v>
      </c>
      <c r="AY7" t="s">
        <v>107</v>
      </c>
      <c r="AZ7">
        <v>7.11</v>
      </c>
      <c r="BJ7" t="s">
        <v>106</v>
      </c>
      <c r="BK7" t="s">
        <v>107</v>
      </c>
      <c r="BL7">
        <v>2.61</v>
      </c>
      <c r="BV7" t="s">
        <v>106</v>
      </c>
      <c r="BW7" t="s">
        <v>107</v>
      </c>
      <c r="BX7">
        <v>2.89</v>
      </c>
      <c r="CH7" t="s">
        <v>106</v>
      </c>
      <c r="CI7" t="s">
        <v>107</v>
      </c>
      <c r="CJ7">
        <v>7.96</v>
      </c>
      <c r="CT7" t="s">
        <v>106</v>
      </c>
      <c r="CU7" t="s">
        <v>107</v>
      </c>
      <c r="CV7">
        <v>2.0099999999999998</v>
      </c>
      <c r="DF7" t="s">
        <v>106</v>
      </c>
      <c r="DG7" t="s">
        <v>107</v>
      </c>
      <c r="DH7">
        <v>0.85</v>
      </c>
      <c r="DR7" t="s">
        <v>106</v>
      </c>
      <c r="DS7" t="s">
        <v>107</v>
      </c>
      <c r="DT7">
        <v>10.89</v>
      </c>
      <c r="ED7" t="s">
        <v>106</v>
      </c>
      <c r="EE7" t="s">
        <v>107</v>
      </c>
      <c r="EF7">
        <v>9.58</v>
      </c>
      <c r="FB7" t="s">
        <v>106</v>
      </c>
      <c r="FC7" t="s">
        <v>107</v>
      </c>
      <c r="FD7">
        <v>6.06</v>
      </c>
      <c r="FN7" t="s">
        <v>106</v>
      </c>
      <c r="FO7" t="s">
        <v>107</v>
      </c>
      <c r="FP7">
        <v>3.78</v>
      </c>
      <c r="FZ7" t="s">
        <v>106</v>
      </c>
      <c r="GA7" t="s">
        <v>107</v>
      </c>
      <c r="GB7">
        <v>279.26</v>
      </c>
    </row>
    <row r="8" spans="1:231">
      <c r="A8">
        <f t="shared" si="0"/>
        <v>1975</v>
      </c>
      <c r="B8">
        <v>0</v>
      </c>
    </row>
    <row r="9" spans="1:231">
      <c r="A9">
        <f t="shared" si="0"/>
        <v>1976</v>
      </c>
      <c r="B9">
        <v>0</v>
      </c>
      <c r="D9" s="2" t="s">
        <v>75</v>
      </c>
      <c r="E9" s="2" t="s">
        <v>75</v>
      </c>
      <c r="F9" s="2" t="s">
        <v>75</v>
      </c>
      <c r="G9" t="s">
        <v>108</v>
      </c>
      <c r="H9" t="s">
        <v>109</v>
      </c>
      <c r="I9" t="s">
        <v>110</v>
      </c>
      <c r="J9" t="s">
        <v>111</v>
      </c>
      <c r="K9" t="s">
        <v>111</v>
      </c>
      <c r="L9" t="s">
        <v>112</v>
      </c>
      <c r="O9" s="2" t="s">
        <v>75</v>
      </c>
      <c r="P9" s="2" t="s">
        <v>75</v>
      </c>
      <c r="Q9" s="2" t="s">
        <v>75</v>
      </c>
      <c r="R9" t="s">
        <v>108</v>
      </c>
      <c r="S9" t="s">
        <v>109</v>
      </c>
      <c r="T9" t="s">
        <v>110</v>
      </c>
      <c r="U9" t="s">
        <v>111</v>
      </c>
      <c r="V9" t="s">
        <v>111</v>
      </c>
      <c r="W9" t="s">
        <v>112</v>
      </c>
      <c r="Z9" s="2" t="s">
        <v>75</v>
      </c>
      <c r="AA9" s="2" t="s">
        <v>75</v>
      </c>
      <c r="AB9" s="2" t="s">
        <v>75</v>
      </c>
      <c r="AC9" t="s">
        <v>108</v>
      </c>
      <c r="AD9" t="s">
        <v>109</v>
      </c>
      <c r="AE9" t="s">
        <v>110</v>
      </c>
      <c r="AF9" t="s">
        <v>111</v>
      </c>
      <c r="AG9" t="s">
        <v>111</v>
      </c>
      <c r="AH9" t="s">
        <v>112</v>
      </c>
      <c r="AL9" s="2" t="s">
        <v>75</v>
      </c>
      <c r="AM9" s="2" t="s">
        <v>75</v>
      </c>
      <c r="AN9" s="2" t="s">
        <v>75</v>
      </c>
      <c r="AO9" t="s">
        <v>108</v>
      </c>
      <c r="AP9" t="s">
        <v>109</v>
      </c>
      <c r="AQ9" t="s">
        <v>110</v>
      </c>
      <c r="AR9" t="s">
        <v>111</v>
      </c>
      <c r="AS9" t="s">
        <v>111</v>
      </c>
      <c r="AT9" t="s">
        <v>112</v>
      </c>
      <c r="AX9" s="2" t="s">
        <v>75</v>
      </c>
      <c r="AY9" s="2" t="s">
        <v>75</v>
      </c>
      <c r="AZ9" s="2" t="s">
        <v>75</v>
      </c>
      <c r="BA9" t="s">
        <v>108</v>
      </c>
      <c r="BB9" t="s">
        <v>109</v>
      </c>
      <c r="BC9" t="s">
        <v>110</v>
      </c>
      <c r="BD9" t="s">
        <v>111</v>
      </c>
      <c r="BE9" t="s">
        <v>111</v>
      </c>
      <c r="BF9" t="s">
        <v>112</v>
      </c>
      <c r="BJ9" s="2" t="s">
        <v>75</v>
      </c>
      <c r="BK9" s="2" t="s">
        <v>75</v>
      </c>
      <c r="BL9" s="2" t="s">
        <v>75</v>
      </c>
      <c r="BM9" t="s">
        <v>108</v>
      </c>
      <c r="BN9" t="s">
        <v>109</v>
      </c>
      <c r="BO9" t="s">
        <v>110</v>
      </c>
      <c r="BP9" t="s">
        <v>111</v>
      </c>
      <c r="BQ9" t="s">
        <v>111</v>
      </c>
      <c r="BR9" t="s">
        <v>112</v>
      </c>
      <c r="BV9" s="2" t="s">
        <v>75</v>
      </c>
      <c r="BW9" s="2" t="s">
        <v>75</v>
      </c>
      <c r="BX9" s="2" t="s">
        <v>75</v>
      </c>
      <c r="BY9" t="s">
        <v>108</v>
      </c>
      <c r="BZ9" t="s">
        <v>109</v>
      </c>
      <c r="CA9" t="s">
        <v>110</v>
      </c>
      <c r="CB9" t="s">
        <v>111</v>
      </c>
      <c r="CC9" t="s">
        <v>111</v>
      </c>
      <c r="CD9" t="s">
        <v>112</v>
      </c>
      <c r="CH9" s="2" t="s">
        <v>75</v>
      </c>
      <c r="CI9" s="2" t="s">
        <v>75</v>
      </c>
      <c r="CJ9" s="2" t="s">
        <v>75</v>
      </c>
      <c r="CK9" t="s">
        <v>108</v>
      </c>
      <c r="CL9" t="s">
        <v>109</v>
      </c>
      <c r="CM9" t="s">
        <v>110</v>
      </c>
      <c r="CN9" t="s">
        <v>111</v>
      </c>
      <c r="CO9" t="s">
        <v>111</v>
      </c>
      <c r="CP9" t="s">
        <v>112</v>
      </c>
      <c r="CT9" s="2" t="s">
        <v>75</v>
      </c>
      <c r="CU9" s="2" t="s">
        <v>75</v>
      </c>
      <c r="CV9" s="2" t="s">
        <v>75</v>
      </c>
      <c r="CW9" t="s">
        <v>108</v>
      </c>
      <c r="CX9" t="s">
        <v>109</v>
      </c>
      <c r="CY9" t="s">
        <v>110</v>
      </c>
      <c r="CZ9" t="s">
        <v>111</v>
      </c>
      <c r="DA9" t="s">
        <v>111</v>
      </c>
      <c r="DB9" t="s">
        <v>112</v>
      </c>
      <c r="DF9" s="2" t="s">
        <v>75</v>
      </c>
      <c r="DG9" s="2" t="s">
        <v>75</v>
      </c>
      <c r="DH9" s="2" t="s">
        <v>75</v>
      </c>
      <c r="DI9" t="s">
        <v>108</v>
      </c>
      <c r="DJ9" t="s">
        <v>109</v>
      </c>
      <c r="DK9" t="s">
        <v>110</v>
      </c>
      <c r="DL9" t="s">
        <v>111</v>
      </c>
      <c r="DM9" t="s">
        <v>111</v>
      </c>
      <c r="DN9" t="s">
        <v>112</v>
      </c>
      <c r="DR9" s="2" t="s">
        <v>75</v>
      </c>
      <c r="DS9" s="2" t="s">
        <v>75</v>
      </c>
      <c r="DT9" s="2" t="s">
        <v>75</v>
      </c>
      <c r="DU9" t="s">
        <v>108</v>
      </c>
      <c r="DV9" t="s">
        <v>109</v>
      </c>
      <c r="DW9" t="s">
        <v>110</v>
      </c>
      <c r="DX9" t="s">
        <v>111</v>
      </c>
      <c r="DY9" t="s">
        <v>111</v>
      </c>
      <c r="DZ9" t="s">
        <v>112</v>
      </c>
      <c r="ED9" s="2" t="s">
        <v>75</v>
      </c>
      <c r="EE9" s="2" t="s">
        <v>75</v>
      </c>
      <c r="EF9" s="2" t="s">
        <v>75</v>
      </c>
      <c r="EG9" t="s">
        <v>108</v>
      </c>
      <c r="EH9" t="s">
        <v>109</v>
      </c>
      <c r="EI9" t="s">
        <v>110</v>
      </c>
      <c r="EJ9" t="s">
        <v>111</v>
      </c>
      <c r="EK9" t="s">
        <v>111</v>
      </c>
      <c r="EL9" t="s">
        <v>112</v>
      </c>
      <c r="FB9" s="2" t="s">
        <v>75</v>
      </c>
      <c r="FC9" s="2" t="s">
        <v>75</v>
      </c>
      <c r="FD9" s="2" t="s">
        <v>75</v>
      </c>
      <c r="FE9" t="s">
        <v>108</v>
      </c>
      <c r="FF9" t="s">
        <v>109</v>
      </c>
      <c r="FG9" t="s">
        <v>110</v>
      </c>
      <c r="FH9" t="s">
        <v>111</v>
      </c>
      <c r="FI9" t="s">
        <v>111</v>
      </c>
      <c r="FJ9" t="s">
        <v>112</v>
      </c>
      <c r="FN9" s="2" t="s">
        <v>75</v>
      </c>
      <c r="FO9" s="2" t="s">
        <v>75</v>
      </c>
      <c r="FP9" s="2" t="s">
        <v>75</v>
      </c>
      <c r="FQ9" t="s">
        <v>108</v>
      </c>
      <c r="FR9" t="s">
        <v>109</v>
      </c>
      <c r="FS9" t="s">
        <v>110</v>
      </c>
      <c r="FT9" t="s">
        <v>111</v>
      </c>
      <c r="FU9" t="s">
        <v>111</v>
      </c>
      <c r="FV9" t="s">
        <v>112</v>
      </c>
      <c r="FZ9" s="2" t="s">
        <v>75</v>
      </c>
      <c r="GA9" s="2" t="s">
        <v>75</v>
      </c>
      <c r="GB9" s="2" t="s">
        <v>75</v>
      </c>
      <c r="GC9" t="s">
        <v>108</v>
      </c>
      <c r="GD9" t="s">
        <v>109</v>
      </c>
      <c r="GE9" t="s">
        <v>110</v>
      </c>
      <c r="GF9" t="s">
        <v>111</v>
      </c>
      <c r="GG9" t="s">
        <v>111</v>
      </c>
      <c r="GH9" t="s">
        <v>112</v>
      </c>
    </row>
    <row r="10" spans="1:231">
      <c r="A10">
        <f t="shared" si="0"/>
        <v>1977</v>
      </c>
      <c r="B10">
        <v>0</v>
      </c>
      <c r="D10" t="s">
        <v>68</v>
      </c>
      <c r="E10" t="s">
        <v>113</v>
      </c>
      <c r="F10" t="s">
        <v>114</v>
      </c>
      <c r="G10" t="s">
        <v>115</v>
      </c>
      <c r="H10" t="s">
        <v>116</v>
      </c>
      <c r="I10" t="s">
        <v>117</v>
      </c>
      <c r="J10" t="s">
        <v>113</v>
      </c>
      <c r="K10" t="s">
        <v>114</v>
      </c>
      <c r="L10" t="s">
        <v>118</v>
      </c>
      <c r="O10" t="s">
        <v>68</v>
      </c>
      <c r="P10" t="s">
        <v>113</v>
      </c>
      <c r="Q10" t="s">
        <v>114</v>
      </c>
      <c r="R10" t="s">
        <v>115</v>
      </c>
      <c r="S10" t="s">
        <v>116</v>
      </c>
      <c r="T10" t="s">
        <v>117</v>
      </c>
      <c r="U10" t="s">
        <v>113</v>
      </c>
      <c r="V10" t="s">
        <v>114</v>
      </c>
      <c r="W10" t="s">
        <v>118</v>
      </c>
      <c r="Z10" t="s">
        <v>68</v>
      </c>
      <c r="AA10" t="s">
        <v>113</v>
      </c>
      <c r="AB10" t="s">
        <v>114</v>
      </c>
      <c r="AC10" t="s">
        <v>115</v>
      </c>
      <c r="AD10" t="s">
        <v>116</v>
      </c>
      <c r="AE10" t="s">
        <v>117</v>
      </c>
      <c r="AF10" t="s">
        <v>113</v>
      </c>
      <c r="AG10" t="s">
        <v>114</v>
      </c>
      <c r="AH10" t="s">
        <v>118</v>
      </c>
      <c r="AL10" t="s">
        <v>68</v>
      </c>
      <c r="AM10" t="s">
        <v>113</v>
      </c>
      <c r="AN10" t="s">
        <v>114</v>
      </c>
      <c r="AO10" t="s">
        <v>115</v>
      </c>
      <c r="AP10" t="s">
        <v>116</v>
      </c>
      <c r="AQ10" t="s">
        <v>117</v>
      </c>
      <c r="AR10" t="s">
        <v>113</v>
      </c>
      <c r="AS10" t="s">
        <v>114</v>
      </c>
      <c r="AT10" t="s">
        <v>118</v>
      </c>
      <c r="AX10" t="s">
        <v>68</v>
      </c>
      <c r="AY10" t="s">
        <v>113</v>
      </c>
      <c r="AZ10" t="s">
        <v>114</v>
      </c>
      <c r="BA10" t="s">
        <v>115</v>
      </c>
      <c r="BB10" t="s">
        <v>116</v>
      </c>
      <c r="BC10" t="s">
        <v>117</v>
      </c>
      <c r="BD10" t="s">
        <v>113</v>
      </c>
      <c r="BE10" t="s">
        <v>114</v>
      </c>
      <c r="BF10" t="s">
        <v>118</v>
      </c>
      <c r="BJ10" t="s">
        <v>68</v>
      </c>
      <c r="BK10" t="s">
        <v>113</v>
      </c>
      <c r="BL10" t="s">
        <v>114</v>
      </c>
      <c r="BM10" t="s">
        <v>115</v>
      </c>
      <c r="BN10" t="s">
        <v>116</v>
      </c>
      <c r="BO10" t="s">
        <v>117</v>
      </c>
      <c r="BP10" t="s">
        <v>113</v>
      </c>
      <c r="BQ10" t="s">
        <v>114</v>
      </c>
      <c r="BR10" t="s">
        <v>118</v>
      </c>
      <c r="BV10" t="s">
        <v>68</v>
      </c>
      <c r="BW10" t="s">
        <v>113</v>
      </c>
      <c r="BX10" t="s">
        <v>114</v>
      </c>
      <c r="BY10" t="s">
        <v>115</v>
      </c>
      <c r="BZ10" t="s">
        <v>116</v>
      </c>
      <c r="CA10" t="s">
        <v>117</v>
      </c>
      <c r="CB10" t="s">
        <v>113</v>
      </c>
      <c r="CC10" t="s">
        <v>114</v>
      </c>
      <c r="CD10" t="s">
        <v>118</v>
      </c>
      <c r="CH10" t="s">
        <v>68</v>
      </c>
      <c r="CI10" t="s">
        <v>113</v>
      </c>
      <c r="CJ10" t="s">
        <v>114</v>
      </c>
      <c r="CK10" t="s">
        <v>115</v>
      </c>
      <c r="CL10" t="s">
        <v>116</v>
      </c>
      <c r="CM10" t="s">
        <v>117</v>
      </c>
      <c r="CN10" t="s">
        <v>113</v>
      </c>
      <c r="CO10" t="s">
        <v>114</v>
      </c>
      <c r="CP10" t="s">
        <v>118</v>
      </c>
      <c r="CT10" t="s">
        <v>68</v>
      </c>
      <c r="CU10" t="s">
        <v>113</v>
      </c>
      <c r="CV10" t="s">
        <v>114</v>
      </c>
      <c r="CW10" t="s">
        <v>115</v>
      </c>
      <c r="CX10" t="s">
        <v>116</v>
      </c>
      <c r="CY10" t="s">
        <v>117</v>
      </c>
      <c r="CZ10" t="s">
        <v>113</v>
      </c>
      <c r="DA10" t="s">
        <v>114</v>
      </c>
      <c r="DB10" t="s">
        <v>118</v>
      </c>
      <c r="DF10" t="s">
        <v>68</v>
      </c>
      <c r="DG10" t="s">
        <v>113</v>
      </c>
      <c r="DH10" t="s">
        <v>114</v>
      </c>
      <c r="DI10" t="s">
        <v>115</v>
      </c>
      <c r="DJ10" t="s">
        <v>116</v>
      </c>
      <c r="DK10" t="s">
        <v>117</v>
      </c>
      <c r="DL10" t="s">
        <v>113</v>
      </c>
      <c r="DM10" t="s">
        <v>114</v>
      </c>
      <c r="DN10" t="s">
        <v>118</v>
      </c>
      <c r="DR10" t="s">
        <v>68</v>
      </c>
      <c r="DS10" t="s">
        <v>113</v>
      </c>
      <c r="DT10" t="s">
        <v>114</v>
      </c>
      <c r="DU10" t="s">
        <v>115</v>
      </c>
      <c r="DV10" t="s">
        <v>116</v>
      </c>
      <c r="DW10" t="s">
        <v>117</v>
      </c>
      <c r="DX10" t="s">
        <v>113</v>
      </c>
      <c r="DY10" t="s">
        <v>114</v>
      </c>
      <c r="DZ10" t="s">
        <v>118</v>
      </c>
      <c r="ED10" t="s">
        <v>68</v>
      </c>
      <c r="EE10" t="s">
        <v>113</v>
      </c>
      <c r="EF10" t="s">
        <v>114</v>
      </c>
      <c r="EG10" t="s">
        <v>115</v>
      </c>
      <c r="EH10" t="s">
        <v>116</v>
      </c>
      <c r="EI10" t="s">
        <v>117</v>
      </c>
      <c r="EJ10" t="s">
        <v>113</v>
      </c>
      <c r="EK10" t="s">
        <v>114</v>
      </c>
      <c r="EL10" t="s">
        <v>118</v>
      </c>
      <c r="FB10" t="s">
        <v>68</v>
      </c>
      <c r="FC10" t="s">
        <v>113</v>
      </c>
      <c r="FD10" t="s">
        <v>114</v>
      </c>
      <c r="FE10" t="s">
        <v>115</v>
      </c>
      <c r="FF10" t="s">
        <v>116</v>
      </c>
      <c r="FG10" t="s">
        <v>117</v>
      </c>
      <c r="FH10" t="s">
        <v>113</v>
      </c>
      <c r="FI10" t="s">
        <v>114</v>
      </c>
      <c r="FJ10" t="s">
        <v>118</v>
      </c>
      <c r="FN10" t="s">
        <v>68</v>
      </c>
      <c r="FO10" t="s">
        <v>113</v>
      </c>
      <c r="FP10" t="s">
        <v>114</v>
      </c>
      <c r="FQ10" t="s">
        <v>115</v>
      </c>
      <c r="FR10" t="s">
        <v>116</v>
      </c>
      <c r="FS10" t="s">
        <v>117</v>
      </c>
      <c r="FT10" t="s">
        <v>113</v>
      </c>
      <c r="FU10" t="s">
        <v>114</v>
      </c>
      <c r="FV10" t="s">
        <v>118</v>
      </c>
      <c r="FZ10" t="s">
        <v>68</v>
      </c>
      <c r="GA10" t="s">
        <v>113</v>
      </c>
      <c r="GB10" t="s">
        <v>114</v>
      </c>
      <c r="GC10" t="s">
        <v>115</v>
      </c>
      <c r="GD10" t="s">
        <v>116</v>
      </c>
      <c r="GE10" t="s">
        <v>117</v>
      </c>
      <c r="GF10" t="s">
        <v>113</v>
      </c>
      <c r="GG10" t="s">
        <v>114</v>
      </c>
      <c r="GH10" t="s">
        <v>118</v>
      </c>
    </row>
    <row r="11" spans="1:231">
      <c r="A11">
        <f t="shared" si="0"/>
        <v>1978</v>
      </c>
      <c r="B11">
        <v>0</v>
      </c>
      <c r="D11" t="s">
        <v>69</v>
      </c>
      <c r="E11" t="s">
        <v>119</v>
      </c>
      <c r="F11" t="s">
        <v>119</v>
      </c>
      <c r="G11" t="s">
        <v>119</v>
      </c>
      <c r="H11" t="s">
        <v>119</v>
      </c>
      <c r="I11" t="s">
        <v>119</v>
      </c>
      <c r="J11" t="s">
        <v>119</v>
      </c>
      <c r="K11" t="s">
        <v>119</v>
      </c>
      <c r="L11" t="s">
        <v>119</v>
      </c>
      <c r="O11" t="s">
        <v>69</v>
      </c>
      <c r="P11" t="s">
        <v>119</v>
      </c>
      <c r="Q11" t="s">
        <v>119</v>
      </c>
      <c r="R11" t="s">
        <v>119</v>
      </c>
      <c r="S11" t="s">
        <v>119</v>
      </c>
      <c r="T11" t="s">
        <v>119</v>
      </c>
      <c r="U11" t="s">
        <v>119</v>
      </c>
      <c r="V11" t="s">
        <v>119</v>
      </c>
      <c r="W11" t="s">
        <v>119</v>
      </c>
      <c r="Z11" t="s">
        <v>69</v>
      </c>
      <c r="AA11" t="s">
        <v>119</v>
      </c>
      <c r="AB11" t="s">
        <v>119</v>
      </c>
      <c r="AC11" t="s">
        <v>119</v>
      </c>
      <c r="AD11" t="s">
        <v>119</v>
      </c>
      <c r="AE11" t="s">
        <v>119</v>
      </c>
      <c r="AF11" t="s">
        <v>119</v>
      </c>
      <c r="AG11" t="s">
        <v>119</v>
      </c>
      <c r="AH11" t="s">
        <v>119</v>
      </c>
      <c r="AL11" t="s">
        <v>69</v>
      </c>
      <c r="AM11" t="s">
        <v>119</v>
      </c>
      <c r="AN11" t="s">
        <v>119</v>
      </c>
      <c r="AO11" t="s">
        <v>119</v>
      </c>
      <c r="AP11" t="s">
        <v>119</v>
      </c>
      <c r="AQ11" t="s">
        <v>119</v>
      </c>
      <c r="AR11" t="s">
        <v>119</v>
      </c>
      <c r="AS11" t="s">
        <v>119</v>
      </c>
      <c r="AT11" t="s">
        <v>119</v>
      </c>
      <c r="AX11" t="s">
        <v>69</v>
      </c>
      <c r="AY11" t="s">
        <v>119</v>
      </c>
      <c r="AZ11" t="s">
        <v>119</v>
      </c>
      <c r="BA11" t="s">
        <v>119</v>
      </c>
      <c r="BB11" t="s">
        <v>119</v>
      </c>
      <c r="BC11" t="s">
        <v>119</v>
      </c>
      <c r="BD11" t="s">
        <v>119</v>
      </c>
      <c r="BE11" t="s">
        <v>119</v>
      </c>
      <c r="BF11" t="s">
        <v>119</v>
      </c>
      <c r="BJ11" t="s">
        <v>69</v>
      </c>
      <c r="BK11" t="s">
        <v>119</v>
      </c>
      <c r="BL11" t="s">
        <v>119</v>
      </c>
      <c r="BM11" t="s">
        <v>119</v>
      </c>
      <c r="BN11" t="s">
        <v>119</v>
      </c>
      <c r="BO11" t="s">
        <v>119</v>
      </c>
      <c r="BP11" t="s">
        <v>119</v>
      </c>
      <c r="BQ11" t="s">
        <v>119</v>
      </c>
      <c r="BR11" t="s">
        <v>119</v>
      </c>
      <c r="BV11" t="s">
        <v>69</v>
      </c>
      <c r="BW11" t="s">
        <v>119</v>
      </c>
      <c r="BX11" t="s">
        <v>119</v>
      </c>
      <c r="BY11" t="s">
        <v>119</v>
      </c>
      <c r="BZ11" t="s">
        <v>119</v>
      </c>
      <c r="CA11" t="s">
        <v>119</v>
      </c>
      <c r="CB11" t="s">
        <v>119</v>
      </c>
      <c r="CC11" t="s">
        <v>119</v>
      </c>
      <c r="CD11" t="s">
        <v>119</v>
      </c>
      <c r="CH11" t="s">
        <v>69</v>
      </c>
      <c r="CI11" t="s">
        <v>119</v>
      </c>
      <c r="CJ11" t="s">
        <v>119</v>
      </c>
      <c r="CK11" t="s">
        <v>119</v>
      </c>
      <c r="CL11" t="s">
        <v>119</v>
      </c>
      <c r="CM11" t="s">
        <v>119</v>
      </c>
      <c r="CN11" t="s">
        <v>119</v>
      </c>
      <c r="CO11" t="s">
        <v>119</v>
      </c>
      <c r="CP11" t="s">
        <v>119</v>
      </c>
      <c r="CT11" t="s">
        <v>69</v>
      </c>
      <c r="CU11" t="s">
        <v>119</v>
      </c>
      <c r="CV11" t="s">
        <v>119</v>
      </c>
      <c r="CW11" t="s">
        <v>119</v>
      </c>
      <c r="CX11" t="s">
        <v>119</v>
      </c>
      <c r="CY11" t="s">
        <v>119</v>
      </c>
      <c r="CZ11" t="s">
        <v>119</v>
      </c>
      <c r="DA11" t="s">
        <v>119</v>
      </c>
      <c r="DB11" t="s">
        <v>119</v>
      </c>
      <c r="DF11" t="s">
        <v>69</v>
      </c>
      <c r="DG11" t="s">
        <v>119</v>
      </c>
      <c r="DH11" t="s">
        <v>119</v>
      </c>
      <c r="DI11" t="s">
        <v>119</v>
      </c>
      <c r="DJ11" t="s">
        <v>119</v>
      </c>
      <c r="DK11" t="s">
        <v>119</v>
      </c>
      <c r="DL11" t="s">
        <v>119</v>
      </c>
      <c r="DM11" t="s">
        <v>119</v>
      </c>
      <c r="DN11" t="s">
        <v>119</v>
      </c>
      <c r="DR11" t="s">
        <v>69</v>
      </c>
      <c r="DS11" t="s">
        <v>119</v>
      </c>
      <c r="DT11" t="s">
        <v>119</v>
      </c>
      <c r="DU11" t="s">
        <v>119</v>
      </c>
      <c r="DV11" t="s">
        <v>119</v>
      </c>
      <c r="DW11" t="s">
        <v>119</v>
      </c>
      <c r="DX11" t="s">
        <v>119</v>
      </c>
      <c r="DY11" t="s">
        <v>119</v>
      </c>
      <c r="DZ11" t="s">
        <v>119</v>
      </c>
      <c r="ED11" t="s">
        <v>69</v>
      </c>
      <c r="EE11" t="s">
        <v>119</v>
      </c>
      <c r="EF11" t="s">
        <v>119</v>
      </c>
      <c r="EG11" t="s">
        <v>119</v>
      </c>
      <c r="EH11" t="s">
        <v>119</v>
      </c>
      <c r="EI11" t="s">
        <v>119</v>
      </c>
      <c r="EJ11" t="s">
        <v>119</v>
      </c>
      <c r="EK11" t="s">
        <v>119</v>
      </c>
      <c r="EL11" t="s">
        <v>119</v>
      </c>
      <c r="FB11" t="s">
        <v>69</v>
      </c>
      <c r="FC11" t="s">
        <v>119</v>
      </c>
      <c r="FD11" t="s">
        <v>119</v>
      </c>
      <c r="FE11" t="s">
        <v>119</v>
      </c>
      <c r="FF11" t="s">
        <v>119</v>
      </c>
      <c r="FG11" t="s">
        <v>119</v>
      </c>
      <c r="FH11" t="s">
        <v>119</v>
      </c>
      <c r="FI11" t="s">
        <v>119</v>
      </c>
      <c r="FJ11" t="s">
        <v>119</v>
      </c>
      <c r="FN11" t="s">
        <v>69</v>
      </c>
      <c r="FO11" t="s">
        <v>119</v>
      </c>
      <c r="FP11" t="s">
        <v>119</v>
      </c>
      <c r="FQ11" t="s">
        <v>119</v>
      </c>
      <c r="FR11" t="s">
        <v>119</v>
      </c>
      <c r="FS11" t="s">
        <v>119</v>
      </c>
      <c r="FT11" t="s">
        <v>119</v>
      </c>
      <c r="FU11" t="s">
        <v>119</v>
      </c>
      <c r="FV11" t="s">
        <v>119</v>
      </c>
      <c r="FZ11" t="s">
        <v>69</v>
      </c>
      <c r="GA11" t="s">
        <v>119</v>
      </c>
      <c r="GB11" t="s">
        <v>119</v>
      </c>
      <c r="GC11" t="s">
        <v>119</v>
      </c>
      <c r="GD11" t="s">
        <v>119</v>
      </c>
      <c r="GE11" t="s">
        <v>119</v>
      </c>
      <c r="GF11" t="s">
        <v>119</v>
      </c>
      <c r="GG11" t="s">
        <v>119</v>
      </c>
      <c r="GH11" t="s">
        <v>119</v>
      </c>
    </row>
    <row r="12" spans="1:231">
      <c r="A12">
        <f t="shared" si="0"/>
        <v>1979</v>
      </c>
      <c r="B12">
        <v>0</v>
      </c>
      <c r="D12">
        <v>1981</v>
      </c>
      <c r="E12">
        <v>1.6140000000000001</v>
      </c>
      <c r="F12">
        <v>-4.4999999999999998E-2</v>
      </c>
      <c r="G12">
        <v>1.659</v>
      </c>
      <c r="H12">
        <v>0.70299999999999996</v>
      </c>
      <c r="I12" s="12">
        <v>2.0299999999999998E-9</v>
      </c>
      <c r="J12">
        <v>1.391</v>
      </c>
      <c r="K12">
        <v>0.26500000000000001</v>
      </c>
      <c r="L12">
        <v>15.053000000000001</v>
      </c>
      <c r="O12">
        <v>1986</v>
      </c>
      <c r="P12">
        <v>0.17799999999999999</v>
      </c>
      <c r="Q12">
        <v>9.0999999999999998E-2</v>
      </c>
      <c r="R12">
        <v>8.6999999999999994E-2</v>
      </c>
      <c r="S12">
        <v>0.70299999999999996</v>
      </c>
      <c r="T12" s="12">
        <v>1.96E-8</v>
      </c>
      <c r="U12">
        <v>0.17699999999999999</v>
      </c>
      <c r="V12">
        <v>0.16200000000000001</v>
      </c>
      <c r="W12">
        <v>3.4000000000000002E-2</v>
      </c>
      <c r="Z12">
        <v>1970</v>
      </c>
      <c r="AA12">
        <v>0.52600000000000002</v>
      </c>
      <c r="AB12">
        <v>-0.13600000000000001</v>
      </c>
      <c r="AC12">
        <v>0.66200000000000003</v>
      </c>
      <c r="AD12">
        <v>0.70299999999999996</v>
      </c>
      <c r="AE12" s="12">
        <v>2.5800000000000001E-7</v>
      </c>
      <c r="AF12">
        <v>1.3640000000000001</v>
      </c>
      <c r="AG12">
        <v>0.70299999999999996</v>
      </c>
      <c r="AH12">
        <v>0.41299999999999998</v>
      </c>
      <c r="AL12">
        <v>1993</v>
      </c>
      <c r="AM12">
        <v>0.20499999999999999</v>
      </c>
      <c r="AN12">
        <v>0.17199999999999999</v>
      </c>
      <c r="AO12">
        <v>3.3000000000000002E-2</v>
      </c>
      <c r="AP12">
        <v>0.70299999999999996</v>
      </c>
      <c r="AQ12" s="12">
        <v>2.6199999999999999E-7</v>
      </c>
      <c r="AR12">
        <v>1.151</v>
      </c>
      <c r="AS12">
        <v>1.113</v>
      </c>
      <c r="AT12">
        <v>5.8000000000000003E-2</v>
      </c>
      <c r="AX12">
        <v>1986</v>
      </c>
      <c r="AY12">
        <v>0.78900000000000003</v>
      </c>
      <c r="AZ12">
        <v>8.4000000000000005E-2</v>
      </c>
      <c r="BA12">
        <v>0.70599999999999996</v>
      </c>
      <c r="BB12">
        <v>0.70299999999999996</v>
      </c>
      <c r="BC12" s="12">
        <v>1.2800000000000001E-7</v>
      </c>
      <c r="BD12">
        <v>1.9390000000000001</v>
      </c>
      <c r="BE12">
        <v>0.95799999999999996</v>
      </c>
      <c r="BF12">
        <v>0.52800000000000002</v>
      </c>
      <c r="BJ12">
        <v>1987</v>
      </c>
      <c r="BK12">
        <v>0.58699999999999997</v>
      </c>
      <c r="BL12">
        <v>0.15</v>
      </c>
      <c r="BM12">
        <v>0.437</v>
      </c>
      <c r="BN12">
        <v>0.70299999999999996</v>
      </c>
      <c r="BO12" s="12">
        <v>2.6E-7</v>
      </c>
      <c r="BP12">
        <v>1.696</v>
      </c>
      <c r="BQ12">
        <v>1.0960000000000001</v>
      </c>
      <c r="BR12">
        <v>6.8000000000000005E-2</v>
      </c>
      <c r="BV12">
        <v>1991</v>
      </c>
      <c r="BW12">
        <v>0.13200000000000001</v>
      </c>
      <c r="BX12">
        <v>4.5999999999999999E-2</v>
      </c>
      <c r="BY12">
        <v>8.5999999999999993E-2</v>
      </c>
      <c r="BZ12">
        <v>0.70299999999999996</v>
      </c>
      <c r="CA12" s="12">
        <v>3.2800000000000003E-7</v>
      </c>
      <c r="CB12">
        <v>1.0449999999999999</v>
      </c>
      <c r="CC12">
        <v>0.95799999999999996</v>
      </c>
      <c r="CD12">
        <v>3.5000000000000003E-2</v>
      </c>
      <c r="CH12">
        <v>1983</v>
      </c>
      <c r="CI12">
        <v>0.86299999999999999</v>
      </c>
      <c r="CJ12">
        <v>-0.155</v>
      </c>
      <c r="CK12">
        <v>1.018</v>
      </c>
      <c r="CL12">
        <v>0.70299999999999996</v>
      </c>
      <c r="CM12" s="12">
        <v>3.0199999999999999E-8</v>
      </c>
      <c r="CN12">
        <v>13.589</v>
      </c>
      <c r="CO12">
        <v>4.9109999999999996</v>
      </c>
      <c r="CP12">
        <v>2.1040000000000001</v>
      </c>
      <c r="CT12">
        <v>1991</v>
      </c>
      <c r="CU12">
        <v>5.3999999999999999E-2</v>
      </c>
      <c r="CV12">
        <v>0.124</v>
      </c>
      <c r="CW12">
        <v>-6.9000000000000006E-2</v>
      </c>
      <c r="CX12">
        <v>0.70299999999999996</v>
      </c>
      <c r="CY12" s="12">
        <v>1.9300000000000001E-8</v>
      </c>
      <c r="CZ12">
        <v>1.96</v>
      </c>
      <c r="DA12">
        <v>2.1</v>
      </c>
      <c r="DB12">
        <v>0.115</v>
      </c>
      <c r="DF12">
        <v>1970</v>
      </c>
      <c r="DG12">
        <v>0.10100000000000001</v>
      </c>
      <c r="DH12">
        <v>-0.105</v>
      </c>
      <c r="DI12">
        <v>0.20699999999999999</v>
      </c>
      <c r="DJ12">
        <v>0.70299999999999996</v>
      </c>
      <c r="DK12" s="12">
        <v>4.0100000000000002E-8</v>
      </c>
      <c r="DL12">
        <v>5.0609999999999999</v>
      </c>
      <c r="DM12">
        <v>4.117</v>
      </c>
      <c r="DN12">
        <v>3.0000000000000001E-3</v>
      </c>
      <c r="DR12">
        <v>1970</v>
      </c>
      <c r="DS12">
        <v>-0.2</v>
      </c>
      <c r="DT12">
        <v>-0.25800000000000001</v>
      </c>
      <c r="DU12">
        <v>5.7000000000000002E-2</v>
      </c>
      <c r="DV12">
        <v>0.70299999999999996</v>
      </c>
      <c r="DW12" s="12">
        <v>5.6500000000000001E-9</v>
      </c>
      <c r="DX12">
        <v>0.64400000000000002</v>
      </c>
      <c r="DY12">
        <v>0.60799999999999998</v>
      </c>
      <c r="DZ12">
        <v>4.7E-2</v>
      </c>
      <c r="ED12">
        <v>1981</v>
      </c>
      <c r="EE12">
        <v>0.627</v>
      </c>
      <c r="EF12">
        <v>0.02</v>
      </c>
      <c r="EG12">
        <v>0.60699999999999998</v>
      </c>
      <c r="EH12">
        <v>0.70299999999999996</v>
      </c>
      <c r="EI12" s="12">
        <v>6.44E-7</v>
      </c>
      <c r="EJ12">
        <v>6.5540000000000003</v>
      </c>
      <c r="EK12">
        <v>3.573</v>
      </c>
      <c r="EL12">
        <v>0.29199999999999998</v>
      </c>
      <c r="FB12">
        <v>1970</v>
      </c>
      <c r="FC12">
        <v>0.77200000000000002</v>
      </c>
      <c r="FD12">
        <v>-0.14199999999999999</v>
      </c>
      <c r="FE12">
        <v>0.91400000000000003</v>
      </c>
      <c r="FF12">
        <v>0.70299999999999996</v>
      </c>
      <c r="FG12" s="12">
        <v>2.3900000000000001E-7</v>
      </c>
      <c r="FH12">
        <v>1.712</v>
      </c>
      <c r="FI12">
        <v>0.68600000000000005</v>
      </c>
      <c r="FJ12">
        <v>1.403</v>
      </c>
      <c r="FN12">
        <v>1980</v>
      </c>
      <c r="FO12">
        <v>-0.78</v>
      </c>
      <c r="FP12">
        <v>0.22500000000000001</v>
      </c>
      <c r="FQ12">
        <v>-1.0049999999999999</v>
      </c>
      <c r="FR12">
        <v>0.70299999999999996</v>
      </c>
      <c r="FS12" s="12">
        <v>5.7299999999999999E-9</v>
      </c>
      <c r="FT12">
        <v>0.25</v>
      </c>
      <c r="FU12">
        <v>0.68300000000000005</v>
      </c>
      <c r="FV12">
        <v>0.79700000000000004</v>
      </c>
      <c r="FZ12">
        <v>1980</v>
      </c>
      <c r="GA12">
        <v>-1.9910000000000001</v>
      </c>
      <c r="GB12">
        <v>0.14099999999999999</v>
      </c>
      <c r="GC12">
        <v>-2.133</v>
      </c>
      <c r="GD12">
        <v>0.70299999999999996</v>
      </c>
      <c r="GE12" s="12">
        <v>3.4699999999999999E-10</v>
      </c>
      <c r="GF12">
        <v>0.01</v>
      </c>
      <c r="GG12">
        <v>8.1000000000000003E-2</v>
      </c>
      <c r="GH12">
        <v>1.286</v>
      </c>
    </row>
    <row r="13" spans="1:231">
      <c r="A13">
        <f t="shared" si="0"/>
        <v>1980</v>
      </c>
      <c r="B13">
        <v>0</v>
      </c>
      <c r="D13">
        <v>1982</v>
      </c>
      <c r="E13">
        <v>-0.26900000000000002</v>
      </c>
      <c r="F13">
        <v>-0.13900000000000001</v>
      </c>
      <c r="G13">
        <v>-0.13</v>
      </c>
      <c r="H13">
        <v>0.70299999999999996</v>
      </c>
      <c r="I13" s="12">
        <v>2.0299999999999998E-9</v>
      </c>
      <c r="J13">
        <v>0.21199999999999999</v>
      </c>
      <c r="K13">
        <v>0.24099999999999999</v>
      </c>
      <c r="L13">
        <v>0.154</v>
      </c>
      <c r="O13">
        <v>1987</v>
      </c>
      <c r="P13">
        <v>0.41599999999999998</v>
      </c>
      <c r="Q13">
        <v>0.16600000000000001</v>
      </c>
      <c r="R13">
        <v>0.25</v>
      </c>
      <c r="S13">
        <v>0.70299999999999996</v>
      </c>
      <c r="T13" s="12">
        <v>1.96E-8</v>
      </c>
      <c r="U13">
        <v>0.224</v>
      </c>
      <c r="V13">
        <v>0.17399999999999999</v>
      </c>
      <c r="W13">
        <v>0</v>
      </c>
      <c r="Z13">
        <v>1971</v>
      </c>
      <c r="AA13">
        <v>0.28299999999999997</v>
      </c>
      <c r="AB13">
        <v>-7.4999999999999997E-2</v>
      </c>
      <c r="AC13">
        <v>0.35899999999999999</v>
      </c>
      <c r="AD13">
        <v>0.70299999999999996</v>
      </c>
      <c r="AE13" s="12">
        <v>2.5800000000000001E-7</v>
      </c>
      <c r="AF13">
        <v>1.069</v>
      </c>
      <c r="AG13">
        <v>0.747</v>
      </c>
      <c r="AH13">
        <v>2.1999999999999999E-2</v>
      </c>
      <c r="AL13">
        <v>1994</v>
      </c>
      <c r="AM13">
        <v>0.52800000000000002</v>
      </c>
      <c r="AN13">
        <v>0.15</v>
      </c>
      <c r="AO13">
        <v>0.378</v>
      </c>
      <c r="AP13">
        <v>0.70299999999999996</v>
      </c>
      <c r="AQ13" s="12">
        <v>2.6199999999999999E-7</v>
      </c>
      <c r="AR13">
        <v>1.589</v>
      </c>
      <c r="AS13">
        <v>1.089</v>
      </c>
      <c r="AT13">
        <v>0.03</v>
      </c>
      <c r="AX13">
        <v>1987</v>
      </c>
      <c r="AY13">
        <v>4.5999999999999999E-2</v>
      </c>
      <c r="AZ13">
        <v>0.32200000000000001</v>
      </c>
      <c r="BA13">
        <v>-0.27600000000000002</v>
      </c>
      <c r="BB13">
        <v>0.70299999999999996</v>
      </c>
      <c r="BC13" s="12">
        <v>1.2800000000000001E-7</v>
      </c>
      <c r="BD13">
        <v>0.92200000000000004</v>
      </c>
      <c r="BE13">
        <v>1.216</v>
      </c>
      <c r="BF13">
        <v>0.26</v>
      </c>
      <c r="BJ13">
        <v>1988</v>
      </c>
      <c r="BK13">
        <v>0.65200000000000002</v>
      </c>
      <c r="BL13">
        <v>0.35099999999999998</v>
      </c>
      <c r="BM13">
        <v>0.30099999999999999</v>
      </c>
      <c r="BN13">
        <v>0.70299999999999996</v>
      </c>
      <c r="BO13" s="12">
        <v>2.6E-7</v>
      </c>
      <c r="BP13">
        <v>1.8109999999999999</v>
      </c>
      <c r="BQ13">
        <v>1.341</v>
      </c>
      <c r="BR13">
        <v>5.0000000000000001E-3</v>
      </c>
      <c r="BV13">
        <v>1992</v>
      </c>
      <c r="BW13">
        <v>0.218</v>
      </c>
      <c r="BX13">
        <v>2.8000000000000001E-2</v>
      </c>
      <c r="BY13">
        <v>0.19</v>
      </c>
      <c r="BZ13">
        <v>0.70299999999999996</v>
      </c>
      <c r="CA13" s="12">
        <v>3.2800000000000003E-7</v>
      </c>
      <c r="CB13">
        <v>1.1379999999999999</v>
      </c>
      <c r="CC13">
        <v>0.94099999999999995</v>
      </c>
      <c r="CD13">
        <v>5.0000000000000001E-3</v>
      </c>
      <c r="CH13">
        <v>1984</v>
      </c>
      <c r="CI13">
        <v>0.05</v>
      </c>
      <c r="CJ13">
        <v>-6.0000000000000001E-3</v>
      </c>
      <c r="CK13">
        <v>5.6000000000000001E-2</v>
      </c>
      <c r="CL13">
        <v>0.70299999999999996</v>
      </c>
      <c r="CM13" s="12">
        <v>3.0199999999999999E-8</v>
      </c>
      <c r="CN13">
        <v>6.0270000000000001</v>
      </c>
      <c r="CO13">
        <v>5.6970000000000001</v>
      </c>
      <c r="CP13">
        <v>4.7E-2</v>
      </c>
      <c r="CT13">
        <v>1992</v>
      </c>
      <c r="CU13">
        <v>-0.38</v>
      </c>
      <c r="CV13">
        <v>2.3E-2</v>
      </c>
      <c r="CW13">
        <v>-0.40300000000000002</v>
      </c>
      <c r="CX13">
        <v>0.70299999999999996</v>
      </c>
      <c r="CY13" s="12">
        <v>1.9300000000000001E-8</v>
      </c>
      <c r="CZ13">
        <v>1.27</v>
      </c>
      <c r="DA13">
        <v>1.9</v>
      </c>
      <c r="DB13">
        <v>0.35699999999999998</v>
      </c>
      <c r="DF13">
        <v>1971</v>
      </c>
      <c r="DG13">
        <v>-5.7000000000000002E-2</v>
      </c>
      <c r="DH13">
        <v>-3.6999999999999998E-2</v>
      </c>
      <c r="DI13">
        <v>-0.02</v>
      </c>
      <c r="DJ13">
        <v>0.70299999999999996</v>
      </c>
      <c r="DK13" s="12">
        <v>4.0100000000000002E-8</v>
      </c>
      <c r="DL13">
        <v>4.3179999999999996</v>
      </c>
      <c r="DM13">
        <v>4.4059999999999997</v>
      </c>
      <c r="DN13">
        <v>8.5999999999999993E-2</v>
      </c>
      <c r="DR13">
        <v>1971</v>
      </c>
      <c r="DS13">
        <v>-0.21299999999999999</v>
      </c>
      <c r="DT13">
        <v>-0.13600000000000001</v>
      </c>
      <c r="DU13">
        <v>-7.6999999999999999E-2</v>
      </c>
      <c r="DV13">
        <v>0.70299999999999996</v>
      </c>
      <c r="DW13" s="12">
        <v>5.6500000000000001E-9</v>
      </c>
      <c r="DX13">
        <v>0.63600000000000001</v>
      </c>
      <c r="DY13">
        <v>0.68700000000000006</v>
      </c>
      <c r="DZ13">
        <v>0.12</v>
      </c>
      <c r="ED13">
        <v>1982</v>
      </c>
      <c r="EE13">
        <v>0.93200000000000005</v>
      </c>
      <c r="EF13">
        <v>-0.13500000000000001</v>
      </c>
      <c r="EG13">
        <v>1.0669999999999999</v>
      </c>
      <c r="EH13">
        <v>0.70299999999999996</v>
      </c>
      <c r="EI13" s="12">
        <v>6.44E-7</v>
      </c>
      <c r="EJ13">
        <v>8.8960000000000008</v>
      </c>
      <c r="EK13">
        <v>3.0609999999999999</v>
      </c>
      <c r="EL13">
        <v>2.5169999999999999</v>
      </c>
      <c r="FB13">
        <v>1971</v>
      </c>
      <c r="FC13">
        <v>0.251</v>
      </c>
      <c r="FD13">
        <v>-7.8E-2</v>
      </c>
      <c r="FE13">
        <v>0.32900000000000001</v>
      </c>
      <c r="FF13">
        <v>0.70299999999999996</v>
      </c>
      <c r="FG13" s="12">
        <v>2.3900000000000001E-7</v>
      </c>
      <c r="FH13">
        <v>1.0169999999999999</v>
      </c>
      <c r="FI13">
        <v>0.73199999999999998</v>
      </c>
      <c r="FJ13">
        <v>1.0999999999999999E-2</v>
      </c>
      <c r="FN13">
        <v>1981</v>
      </c>
      <c r="FO13">
        <v>0.17499999999999999</v>
      </c>
      <c r="FP13">
        <v>0.13700000000000001</v>
      </c>
      <c r="FQ13">
        <v>3.7999999999999999E-2</v>
      </c>
      <c r="FR13">
        <v>0.70299999999999996</v>
      </c>
      <c r="FS13" s="12">
        <v>5.7299999999999999E-9</v>
      </c>
      <c r="FT13">
        <v>0.65</v>
      </c>
      <c r="FU13">
        <v>0.626</v>
      </c>
      <c r="FV13">
        <v>5.6000000000000001E-2</v>
      </c>
      <c r="FZ13">
        <v>1981</v>
      </c>
      <c r="GA13">
        <v>-1.284</v>
      </c>
      <c r="GB13">
        <v>-1.7999999999999999E-2</v>
      </c>
      <c r="GC13">
        <v>-1.2649999999999999</v>
      </c>
      <c r="GD13">
        <v>0.70299999999999996</v>
      </c>
      <c r="GE13" s="12">
        <v>3.4699999999999999E-10</v>
      </c>
      <c r="GF13">
        <v>0.02</v>
      </c>
      <c r="GG13">
        <v>6.9000000000000006E-2</v>
      </c>
      <c r="GH13">
        <v>0.95</v>
      </c>
    </row>
    <row r="14" spans="1:231">
      <c r="A14">
        <f t="shared" si="0"/>
        <v>1981</v>
      </c>
      <c r="B14">
        <v>0</v>
      </c>
      <c r="D14">
        <v>1983</v>
      </c>
      <c r="E14">
        <v>0.73199999999999998</v>
      </c>
      <c r="F14">
        <v>6.2E-2</v>
      </c>
      <c r="G14">
        <v>0.67100000000000004</v>
      </c>
      <c r="H14">
        <v>0.70299999999999996</v>
      </c>
      <c r="I14" s="12">
        <v>2.0299999999999998E-9</v>
      </c>
      <c r="J14">
        <v>0.57599999999999996</v>
      </c>
      <c r="K14">
        <v>0.29399999999999998</v>
      </c>
      <c r="L14">
        <v>0.434</v>
      </c>
      <c r="O14">
        <v>1988</v>
      </c>
      <c r="P14">
        <v>0.64500000000000002</v>
      </c>
      <c r="Q14">
        <v>0.23300000000000001</v>
      </c>
      <c r="R14">
        <v>0.41199999999999998</v>
      </c>
      <c r="S14">
        <v>0.70299999999999996</v>
      </c>
      <c r="T14" s="12">
        <v>1.96E-8</v>
      </c>
      <c r="U14">
        <v>0.28199999999999997</v>
      </c>
      <c r="V14">
        <v>0.187</v>
      </c>
      <c r="W14">
        <v>0.05</v>
      </c>
      <c r="Z14">
        <v>1972</v>
      </c>
      <c r="AA14">
        <v>0.64300000000000002</v>
      </c>
      <c r="AB14">
        <v>1.2999999999999999E-2</v>
      </c>
      <c r="AC14">
        <v>0.63</v>
      </c>
      <c r="AD14">
        <v>0.70299999999999996</v>
      </c>
      <c r="AE14" s="12">
        <v>2.5800000000000001E-7</v>
      </c>
      <c r="AF14">
        <v>1.5329999999999999</v>
      </c>
      <c r="AG14">
        <v>0.81599999999999995</v>
      </c>
      <c r="AH14">
        <v>0.34</v>
      </c>
      <c r="AL14">
        <v>1995</v>
      </c>
      <c r="AM14">
        <v>7.6999999999999999E-2</v>
      </c>
      <c r="AN14">
        <v>0.187</v>
      </c>
      <c r="AO14">
        <v>-0.11</v>
      </c>
      <c r="AP14">
        <v>0.70299999999999996</v>
      </c>
      <c r="AQ14" s="12">
        <v>2.6199999999999999E-7</v>
      </c>
      <c r="AR14">
        <v>1.012</v>
      </c>
      <c r="AS14">
        <v>1.1299999999999999</v>
      </c>
      <c r="AT14">
        <v>0.14099999999999999</v>
      </c>
      <c r="AX14">
        <v>1988</v>
      </c>
      <c r="AY14">
        <v>-0.45600000000000002</v>
      </c>
      <c r="AZ14">
        <v>0.26500000000000001</v>
      </c>
      <c r="BA14">
        <v>-0.72199999999999998</v>
      </c>
      <c r="BB14">
        <v>0.70299999999999996</v>
      </c>
      <c r="BC14" s="12">
        <v>1.2800000000000001E-7</v>
      </c>
      <c r="BD14">
        <v>0.55800000000000005</v>
      </c>
      <c r="BE14">
        <v>1.1479999999999999</v>
      </c>
      <c r="BF14">
        <v>0.60199999999999998</v>
      </c>
      <c r="BJ14">
        <v>1989</v>
      </c>
      <c r="BK14">
        <v>0.58799999999999997</v>
      </c>
      <c r="BL14">
        <v>0.309</v>
      </c>
      <c r="BM14">
        <v>0.28000000000000003</v>
      </c>
      <c r="BN14">
        <v>0.70299999999999996</v>
      </c>
      <c r="BO14" s="12">
        <v>2.6E-7</v>
      </c>
      <c r="BP14">
        <v>1.6990000000000001</v>
      </c>
      <c r="BQ14">
        <v>1.284</v>
      </c>
      <c r="BR14">
        <v>2E-3</v>
      </c>
      <c r="BV14">
        <v>1993</v>
      </c>
      <c r="BW14">
        <v>0.60499999999999998</v>
      </c>
      <c r="BX14">
        <v>2.5999999999999999E-2</v>
      </c>
      <c r="BY14">
        <v>0.57899999999999996</v>
      </c>
      <c r="BZ14">
        <v>0.70299999999999996</v>
      </c>
      <c r="CA14" s="12">
        <v>3.2800000000000003E-7</v>
      </c>
      <c r="CB14">
        <v>1.6759999999999999</v>
      </c>
      <c r="CC14">
        <v>0.93899999999999995</v>
      </c>
      <c r="CD14">
        <v>0.24199999999999999</v>
      </c>
      <c r="CH14">
        <v>1985</v>
      </c>
      <c r="CI14">
        <v>0.57299999999999995</v>
      </c>
      <c r="CJ14">
        <v>6.5000000000000002E-2</v>
      </c>
      <c r="CK14">
        <v>0.50900000000000001</v>
      </c>
      <c r="CL14">
        <v>0.70299999999999996</v>
      </c>
      <c r="CM14" s="12">
        <v>3.0199999999999999E-8</v>
      </c>
      <c r="CN14">
        <v>10.17</v>
      </c>
      <c r="CO14">
        <v>6.1159999999999997</v>
      </c>
      <c r="CP14">
        <v>0.13900000000000001</v>
      </c>
      <c r="CT14">
        <v>1993</v>
      </c>
      <c r="CU14">
        <v>6.5000000000000002E-2</v>
      </c>
      <c r="CV14">
        <v>0.11700000000000001</v>
      </c>
      <c r="CW14">
        <v>-5.2999999999999999E-2</v>
      </c>
      <c r="CX14">
        <v>0.70299999999999996</v>
      </c>
      <c r="CY14" s="12">
        <v>1.9300000000000001E-8</v>
      </c>
      <c r="CZ14">
        <v>1.98</v>
      </c>
      <c r="DA14">
        <v>2.0870000000000002</v>
      </c>
      <c r="DB14">
        <v>0.105</v>
      </c>
      <c r="DF14">
        <v>1972</v>
      </c>
      <c r="DG14">
        <v>4.7E-2</v>
      </c>
      <c r="DH14">
        <v>5.0999999999999997E-2</v>
      </c>
      <c r="DI14">
        <v>-4.0000000000000001E-3</v>
      </c>
      <c r="DJ14">
        <v>0.70299999999999996</v>
      </c>
      <c r="DK14" s="12">
        <v>4.0100000000000002E-8</v>
      </c>
      <c r="DL14">
        <v>4.7949999999999999</v>
      </c>
      <c r="DM14">
        <v>4.8129999999999997</v>
      </c>
      <c r="DN14">
        <v>7.6999999999999999E-2</v>
      </c>
      <c r="DR14">
        <v>1972</v>
      </c>
      <c r="DS14">
        <v>-0.20699999999999999</v>
      </c>
      <c r="DT14">
        <v>-3.9E-2</v>
      </c>
      <c r="DU14">
        <v>-0.16800000000000001</v>
      </c>
      <c r="DV14">
        <v>0.70299999999999996</v>
      </c>
      <c r="DW14" s="12">
        <v>5.6500000000000001E-9</v>
      </c>
      <c r="DX14">
        <v>0.64</v>
      </c>
      <c r="DY14">
        <v>0.75700000000000001</v>
      </c>
      <c r="DZ14">
        <v>0.18</v>
      </c>
      <c r="ED14">
        <v>1983</v>
      </c>
      <c r="EE14">
        <v>-0.05</v>
      </c>
      <c r="EF14">
        <v>-0.2</v>
      </c>
      <c r="EG14">
        <v>0.15</v>
      </c>
      <c r="EH14">
        <v>0.70299999999999996</v>
      </c>
      <c r="EI14" s="12">
        <v>6.44E-7</v>
      </c>
      <c r="EJ14">
        <v>3.33</v>
      </c>
      <c r="EK14">
        <v>2.867</v>
      </c>
      <c r="EL14">
        <v>1.4E-2</v>
      </c>
      <c r="FB14">
        <v>1972</v>
      </c>
      <c r="FC14">
        <v>0.32800000000000001</v>
      </c>
      <c r="FD14">
        <v>8.0000000000000002E-3</v>
      </c>
      <c r="FE14">
        <v>0.32</v>
      </c>
      <c r="FF14">
        <v>0.70299999999999996</v>
      </c>
      <c r="FG14" s="12">
        <v>2.3900000000000001E-7</v>
      </c>
      <c r="FH14">
        <v>1.0980000000000001</v>
      </c>
      <c r="FI14">
        <v>0.79800000000000004</v>
      </c>
      <c r="FJ14">
        <v>8.9999999999999993E-3</v>
      </c>
      <c r="FN14">
        <v>1982</v>
      </c>
      <c r="FO14">
        <v>-0.33600000000000002</v>
      </c>
      <c r="FP14">
        <v>-2.8000000000000001E-2</v>
      </c>
      <c r="FQ14">
        <v>-0.308</v>
      </c>
      <c r="FR14">
        <v>0.70299999999999996</v>
      </c>
      <c r="FS14" s="12">
        <v>5.7299999999999999E-9</v>
      </c>
      <c r="FT14">
        <v>0.39</v>
      </c>
      <c r="FU14">
        <v>0.53</v>
      </c>
      <c r="FV14">
        <v>0.28299999999999997</v>
      </c>
      <c r="FZ14">
        <v>1982</v>
      </c>
      <c r="GA14">
        <v>0.28899999999999998</v>
      </c>
      <c r="GB14">
        <v>-0.104</v>
      </c>
      <c r="GC14">
        <v>0.39400000000000002</v>
      </c>
      <c r="GD14">
        <v>0.70299999999999996</v>
      </c>
      <c r="GE14" s="12">
        <v>3.4699999999999999E-10</v>
      </c>
      <c r="GF14">
        <v>9.4E-2</v>
      </c>
      <c r="GG14">
        <v>6.4000000000000001E-2</v>
      </c>
      <c r="GH14">
        <v>3.9E-2</v>
      </c>
    </row>
    <row r="15" spans="1:231">
      <c r="A15">
        <f t="shared" si="0"/>
        <v>1982</v>
      </c>
      <c r="B15">
        <v>0</v>
      </c>
      <c r="D15">
        <v>1984</v>
      </c>
      <c r="E15">
        <v>1.2E-2</v>
      </c>
      <c r="F15">
        <v>5.0999999999999997E-2</v>
      </c>
      <c r="G15">
        <v>-3.9E-2</v>
      </c>
      <c r="H15">
        <v>0.70299999999999996</v>
      </c>
      <c r="I15" s="12">
        <v>2.0299999999999998E-9</v>
      </c>
      <c r="J15">
        <v>0.28000000000000003</v>
      </c>
      <c r="K15">
        <v>0.29099999999999998</v>
      </c>
      <c r="L15">
        <v>9.7000000000000003E-2</v>
      </c>
      <c r="O15">
        <v>1989</v>
      </c>
      <c r="P15">
        <v>0.57099999999999995</v>
      </c>
      <c r="Q15">
        <v>0.17899999999999999</v>
      </c>
      <c r="R15">
        <v>0.39200000000000002</v>
      </c>
      <c r="S15">
        <v>0.70299999999999996</v>
      </c>
      <c r="T15" s="12">
        <v>1.96E-8</v>
      </c>
      <c r="U15">
        <v>0.26200000000000001</v>
      </c>
      <c r="V15">
        <v>0.17699999999999999</v>
      </c>
      <c r="W15">
        <v>3.7999999999999999E-2</v>
      </c>
      <c r="Z15">
        <v>1973</v>
      </c>
      <c r="AA15">
        <v>0.32900000000000001</v>
      </c>
      <c r="AB15">
        <v>5.1999999999999998E-2</v>
      </c>
      <c r="AC15">
        <v>0.27700000000000002</v>
      </c>
      <c r="AD15">
        <v>0.70299999999999996</v>
      </c>
      <c r="AE15" s="12">
        <v>2.5800000000000001E-7</v>
      </c>
      <c r="AF15">
        <v>1.119</v>
      </c>
      <c r="AG15">
        <v>0.84899999999999998</v>
      </c>
      <c r="AH15">
        <v>1E-3</v>
      </c>
      <c r="AL15">
        <v>1996</v>
      </c>
      <c r="AM15">
        <v>-4.2999999999999997E-2</v>
      </c>
      <c r="AN15">
        <v>0.20300000000000001</v>
      </c>
      <c r="AO15">
        <v>-0.245</v>
      </c>
      <c r="AP15">
        <v>0.70299999999999996</v>
      </c>
      <c r="AQ15" s="12">
        <v>2.6199999999999999E-7</v>
      </c>
      <c r="AR15">
        <v>0.89800000000000002</v>
      </c>
      <c r="AS15">
        <v>1.1479999999999999</v>
      </c>
      <c r="AT15">
        <v>0.23699999999999999</v>
      </c>
      <c r="AX15">
        <v>1989</v>
      </c>
      <c r="AY15">
        <v>-0.437</v>
      </c>
      <c r="AZ15">
        <v>0.17499999999999999</v>
      </c>
      <c r="BA15">
        <v>-0.61099999999999999</v>
      </c>
      <c r="BB15">
        <v>0.70299999999999996</v>
      </c>
      <c r="BC15" s="12">
        <v>1.2800000000000001E-7</v>
      </c>
      <c r="BD15">
        <v>0.56899999999999995</v>
      </c>
      <c r="BE15">
        <v>1.0489999999999999</v>
      </c>
      <c r="BF15">
        <v>0.51900000000000002</v>
      </c>
      <c r="BJ15">
        <v>1990</v>
      </c>
      <c r="BK15">
        <v>0.38800000000000001</v>
      </c>
      <c r="BL15">
        <v>0.16500000000000001</v>
      </c>
      <c r="BM15">
        <v>0.223</v>
      </c>
      <c r="BN15">
        <v>0.70299999999999996</v>
      </c>
      <c r="BO15" s="12">
        <v>2.6E-7</v>
      </c>
      <c r="BP15">
        <v>1.391</v>
      </c>
      <c r="BQ15">
        <v>1.113</v>
      </c>
      <c r="BR15">
        <v>1E-3</v>
      </c>
      <c r="BV15">
        <v>1994</v>
      </c>
      <c r="BW15">
        <v>-0.378</v>
      </c>
      <c r="BX15">
        <v>-0.01</v>
      </c>
      <c r="BY15">
        <v>-0.36799999999999999</v>
      </c>
      <c r="BZ15">
        <v>0.70299999999999996</v>
      </c>
      <c r="CA15" s="12">
        <v>3.2800000000000003E-7</v>
      </c>
      <c r="CB15">
        <v>0.627</v>
      </c>
      <c r="CC15">
        <v>0.90600000000000003</v>
      </c>
      <c r="CD15">
        <v>0.33</v>
      </c>
      <c r="CH15">
        <v>1986</v>
      </c>
      <c r="CI15">
        <v>4.2000000000000003E-2</v>
      </c>
      <c r="CJ15">
        <v>7.6999999999999999E-2</v>
      </c>
      <c r="CK15">
        <v>-3.5999999999999997E-2</v>
      </c>
      <c r="CL15">
        <v>0.70299999999999996</v>
      </c>
      <c r="CM15" s="12">
        <v>3.0199999999999999E-8</v>
      </c>
      <c r="CN15">
        <v>5.9770000000000003</v>
      </c>
      <c r="CO15">
        <v>6.194</v>
      </c>
      <c r="CP15">
        <v>9.5000000000000001E-2</v>
      </c>
      <c r="CT15">
        <v>1994</v>
      </c>
      <c r="CU15">
        <v>2E-3</v>
      </c>
      <c r="CV15">
        <v>0.126</v>
      </c>
      <c r="CW15">
        <v>-0.124</v>
      </c>
      <c r="CX15">
        <v>0.70299999999999996</v>
      </c>
      <c r="CY15" s="12">
        <v>1.9300000000000001E-8</v>
      </c>
      <c r="CZ15">
        <v>1.86</v>
      </c>
      <c r="DA15">
        <v>2.1059999999999999</v>
      </c>
      <c r="DB15">
        <v>0.151</v>
      </c>
      <c r="DF15">
        <v>1973</v>
      </c>
      <c r="DG15">
        <v>5.5E-2</v>
      </c>
      <c r="DH15">
        <v>9.2999999999999999E-2</v>
      </c>
      <c r="DI15">
        <v>-3.7999999999999999E-2</v>
      </c>
      <c r="DJ15">
        <v>0.70299999999999996</v>
      </c>
      <c r="DK15" s="12">
        <v>4.0100000000000002E-8</v>
      </c>
      <c r="DL15">
        <v>4.8330000000000002</v>
      </c>
      <c r="DM15">
        <v>5.0190000000000001</v>
      </c>
      <c r="DN15">
        <v>9.6000000000000002E-2</v>
      </c>
      <c r="DR15">
        <v>1973</v>
      </c>
      <c r="DS15">
        <v>-0.28999999999999998</v>
      </c>
      <c r="DT15">
        <v>-3.1E-2</v>
      </c>
      <c r="DU15">
        <v>-0.25900000000000001</v>
      </c>
      <c r="DV15">
        <v>0.70299999999999996</v>
      </c>
      <c r="DW15" s="12">
        <v>5.6500000000000001E-9</v>
      </c>
      <c r="DX15">
        <v>0.58899999999999997</v>
      </c>
      <c r="DY15">
        <v>0.76300000000000001</v>
      </c>
      <c r="DZ15">
        <v>0.246</v>
      </c>
      <c r="ED15">
        <v>1984</v>
      </c>
      <c r="EE15">
        <v>-0.85799999999999998</v>
      </c>
      <c r="EF15">
        <v>-0.04</v>
      </c>
      <c r="EG15">
        <v>-0.81799999999999995</v>
      </c>
      <c r="EH15">
        <v>0.70299999999999996</v>
      </c>
      <c r="EI15" s="12">
        <v>6.44E-7</v>
      </c>
      <c r="EJ15">
        <v>1.4850000000000001</v>
      </c>
      <c r="EK15">
        <v>3.3660000000000001</v>
      </c>
      <c r="EL15">
        <v>0.67100000000000004</v>
      </c>
      <c r="FB15">
        <v>1973</v>
      </c>
      <c r="FC15">
        <v>0.435</v>
      </c>
      <c r="FD15">
        <v>4.3999999999999997E-2</v>
      </c>
      <c r="FE15">
        <v>0.39200000000000002</v>
      </c>
      <c r="FF15">
        <v>0.70299999999999996</v>
      </c>
      <c r="FG15" s="12">
        <v>2.3900000000000001E-7</v>
      </c>
      <c r="FH15">
        <v>1.2230000000000001</v>
      </c>
      <c r="FI15">
        <v>0.82699999999999996</v>
      </c>
      <c r="FJ15">
        <v>3.7999999999999999E-2</v>
      </c>
      <c r="FN15">
        <v>1983</v>
      </c>
      <c r="FO15">
        <v>-0.108</v>
      </c>
      <c r="FP15">
        <v>-0.52</v>
      </c>
      <c r="FQ15">
        <v>0.41199999999999998</v>
      </c>
      <c r="FR15">
        <v>0.70299999999999996</v>
      </c>
      <c r="FS15" s="12">
        <v>5.7299999999999999E-9</v>
      </c>
      <c r="FT15">
        <v>0.49</v>
      </c>
      <c r="FU15">
        <v>0.32400000000000001</v>
      </c>
      <c r="FV15">
        <v>0.05</v>
      </c>
      <c r="FZ15">
        <v>1983</v>
      </c>
      <c r="GA15">
        <v>0.85499999999999998</v>
      </c>
      <c r="GB15">
        <v>-6.7000000000000004E-2</v>
      </c>
      <c r="GC15">
        <v>0.92100000000000004</v>
      </c>
      <c r="GD15">
        <v>0.70299999999999996</v>
      </c>
      <c r="GE15" s="12">
        <v>3.4699999999999999E-10</v>
      </c>
      <c r="GF15">
        <v>0.16600000000000001</v>
      </c>
      <c r="GG15">
        <v>6.6000000000000003E-2</v>
      </c>
      <c r="GH15">
        <v>1.446</v>
      </c>
    </row>
    <row r="16" spans="1:231">
      <c r="A16">
        <f t="shared" si="0"/>
        <v>1983</v>
      </c>
      <c r="B16">
        <v>0</v>
      </c>
      <c r="D16">
        <v>1985</v>
      </c>
      <c r="E16">
        <v>-0.27900000000000003</v>
      </c>
      <c r="F16">
        <v>0.17799999999999999</v>
      </c>
      <c r="G16">
        <v>-0.45700000000000002</v>
      </c>
      <c r="H16">
        <v>0.70299999999999996</v>
      </c>
      <c r="I16" s="12">
        <v>2.0299999999999998E-9</v>
      </c>
      <c r="J16">
        <v>0.20899999999999999</v>
      </c>
      <c r="K16">
        <v>0.33100000000000002</v>
      </c>
      <c r="L16">
        <v>0.39900000000000002</v>
      </c>
      <c r="O16">
        <v>1990</v>
      </c>
      <c r="P16">
        <v>0.752</v>
      </c>
      <c r="Q16">
        <v>0.124</v>
      </c>
      <c r="R16">
        <v>0.627</v>
      </c>
      <c r="S16">
        <v>0.70299999999999996</v>
      </c>
      <c r="T16" s="12">
        <v>1.96E-8</v>
      </c>
      <c r="U16">
        <v>0.313</v>
      </c>
      <c r="V16">
        <v>0.16700000000000001</v>
      </c>
      <c r="W16">
        <v>0.33400000000000002</v>
      </c>
      <c r="Z16">
        <v>1974</v>
      </c>
      <c r="AA16">
        <v>0.56599999999999995</v>
      </c>
      <c r="AB16">
        <v>5.6000000000000001E-2</v>
      </c>
      <c r="AC16">
        <v>0.51</v>
      </c>
      <c r="AD16">
        <v>0.70299999999999996</v>
      </c>
      <c r="AE16" s="12">
        <v>2.5800000000000001E-7</v>
      </c>
      <c r="AF16">
        <v>1.42</v>
      </c>
      <c r="AG16">
        <v>0.85199999999999998</v>
      </c>
      <c r="AH16">
        <v>0.14099999999999999</v>
      </c>
      <c r="AL16">
        <v>1997</v>
      </c>
      <c r="AM16">
        <v>4.2000000000000003E-2</v>
      </c>
      <c r="AN16">
        <v>0.125</v>
      </c>
      <c r="AO16">
        <v>-8.4000000000000005E-2</v>
      </c>
      <c r="AP16">
        <v>0.70299999999999996</v>
      </c>
      <c r="AQ16" s="12">
        <v>2.6199999999999999E-7</v>
      </c>
      <c r="AR16">
        <v>0.97699999999999998</v>
      </c>
      <c r="AS16">
        <v>1.0620000000000001</v>
      </c>
      <c r="AT16">
        <v>0.124</v>
      </c>
      <c r="AX16">
        <v>1990</v>
      </c>
      <c r="AY16">
        <v>-0.91100000000000003</v>
      </c>
      <c r="AZ16">
        <v>7.4999999999999997E-2</v>
      </c>
      <c r="BA16">
        <v>-0.98599999999999999</v>
      </c>
      <c r="BB16">
        <v>0.70299999999999996</v>
      </c>
      <c r="BC16" s="12">
        <v>1.2800000000000001E-7</v>
      </c>
      <c r="BD16">
        <v>0.35399999999999998</v>
      </c>
      <c r="BE16">
        <v>0.94899999999999995</v>
      </c>
      <c r="BF16">
        <v>0.78500000000000003</v>
      </c>
      <c r="BJ16">
        <v>1991</v>
      </c>
      <c r="BK16">
        <v>0.14000000000000001</v>
      </c>
      <c r="BL16">
        <v>0.1</v>
      </c>
      <c r="BM16">
        <v>4.1000000000000002E-2</v>
      </c>
      <c r="BN16">
        <v>0.70299999999999996</v>
      </c>
      <c r="BO16" s="12">
        <v>2.6E-7</v>
      </c>
      <c r="BP16">
        <v>1.085</v>
      </c>
      <c r="BQ16">
        <v>1.042</v>
      </c>
      <c r="BR16">
        <v>5.5E-2</v>
      </c>
      <c r="BV16">
        <v>1995</v>
      </c>
      <c r="BW16">
        <v>-0.27700000000000002</v>
      </c>
      <c r="BX16">
        <v>7.0000000000000001E-3</v>
      </c>
      <c r="BY16">
        <v>-0.28299999999999997</v>
      </c>
      <c r="BZ16">
        <v>0.70299999999999996</v>
      </c>
      <c r="CA16" s="12">
        <v>3.2800000000000003E-7</v>
      </c>
      <c r="CB16">
        <v>0.69399999999999995</v>
      </c>
      <c r="CC16">
        <v>0.92100000000000004</v>
      </c>
      <c r="CD16">
        <v>0.26500000000000001</v>
      </c>
      <c r="CH16">
        <v>1987</v>
      </c>
      <c r="CI16">
        <v>-0.22600000000000001</v>
      </c>
      <c r="CJ16">
        <v>0.223</v>
      </c>
      <c r="CK16">
        <v>-0.44900000000000001</v>
      </c>
      <c r="CL16">
        <v>0.70299999999999996</v>
      </c>
      <c r="CM16" s="12">
        <v>3.0199999999999999E-8</v>
      </c>
      <c r="CN16">
        <v>4.5739999999999998</v>
      </c>
      <c r="CO16">
        <v>7.165</v>
      </c>
      <c r="CP16">
        <v>0.39300000000000002</v>
      </c>
      <c r="CT16">
        <v>1995</v>
      </c>
      <c r="CU16">
        <v>0.161</v>
      </c>
      <c r="CV16">
        <v>1.7999999999999999E-2</v>
      </c>
      <c r="CW16">
        <v>0.14299999999999999</v>
      </c>
      <c r="CX16">
        <v>0.70299999999999996</v>
      </c>
      <c r="CY16" s="12">
        <v>1.9300000000000001E-8</v>
      </c>
      <c r="CZ16">
        <v>2.1800000000000002</v>
      </c>
      <c r="DA16">
        <v>1.89</v>
      </c>
      <c r="DB16">
        <v>1.4999999999999999E-2</v>
      </c>
      <c r="DF16">
        <v>1974</v>
      </c>
      <c r="DG16">
        <v>-3.7999999999999999E-2</v>
      </c>
      <c r="DH16">
        <v>9.5000000000000001E-2</v>
      </c>
      <c r="DI16">
        <v>-0.13200000000000001</v>
      </c>
      <c r="DJ16">
        <v>0.70299999999999996</v>
      </c>
      <c r="DK16" s="12">
        <v>4.0100000000000002E-8</v>
      </c>
      <c r="DL16">
        <v>4.4050000000000002</v>
      </c>
      <c r="DM16">
        <v>5.0279999999999996</v>
      </c>
      <c r="DN16">
        <v>0.156</v>
      </c>
      <c r="DR16">
        <v>1974</v>
      </c>
      <c r="DS16">
        <v>0.16200000000000001</v>
      </c>
      <c r="DT16">
        <v>-6.0999999999999999E-2</v>
      </c>
      <c r="DU16">
        <v>0.223</v>
      </c>
      <c r="DV16">
        <v>0.70299999999999996</v>
      </c>
      <c r="DW16" s="12">
        <v>5.6500000000000001E-9</v>
      </c>
      <c r="DX16">
        <v>0.92500000000000004</v>
      </c>
      <c r="DY16">
        <v>0.74</v>
      </c>
      <c r="DZ16">
        <v>1E-3</v>
      </c>
      <c r="ED16">
        <v>1985</v>
      </c>
      <c r="EE16">
        <v>1.2E-2</v>
      </c>
      <c r="EF16">
        <v>2.1000000000000001E-2</v>
      </c>
      <c r="EG16">
        <v>-8.9999999999999993E-3</v>
      </c>
      <c r="EH16">
        <v>0.70299999999999996</v>
      </c>
      <c r="EI16" s="12">
        <v>6.44E-7</v>
      </c>
      <c r="EJ16">
        <v>3.5459999999999998</v>
      </c>
      <c r="EK16">
        <v>3.5760000000000001</v>
      </c>
      <c r="EL16">
        <v>0.08</v>
      </c>
      <c r="FB16">
        <v>1974</v>
      </c>
      <c r="FC16">
        <v>-0.252</v>
      </c>
      <c r="FD16">
        <v>4.7E-2</v>
      </c>
      <c r="FE16">
        <v>-0.29899999999999999</v>
      </c>
      <c r="FF16">
        <v>0.70299999999999996</v>
      </c>
      <c r="FG16" s="12">
        <v>2.3900000000000001E-7</v>
      </c>
      <c r="FH16">
        <v>0.61499999999999999</v>
      </c>
      <c r="FI16">
        <v>0.82899999999999996</v>
      </c>
      <c r="FJ16">
        <v>0.27700000000000002</v>
      </c>
      <c r="FN16">
        <v>1984</v>
      </c>
      <c r="FO16">
        <v>-1.1659999999999999</v>
      </c>
      <c r="FP16">
        <v>-0.22</v>
      </c>
      <c r="FQ16">
        <v>-0.94599999999999995</v>
      </c>
      <c r="FR16">
        <v>0.70299999999999996</v>
      </c>
      <c r="FS16" s="12">
        <v>5.7299999999999999E-9</v>
      </c>
      <c r="FT16">
        <v>0.17</v>
      </c>
      <c r="FU16">
        <v>0.438</v>
      </c>
      <c r="FV16">
        <v>0.75800000000000001</v>
      </c>
      <c r="FZ16">
        <v>1984</v>
      </c>
      <c r="GA16">
        <v>2.1709999999999998</v>
      </c>
      <c r="GB16">
        <v>1.4E-2</v>
      </c>
      <c r="GC16">
        <v>2.1579999999999999</v>
      </c>
      <c r="GD16">
        <v>0.70299999999999996</v>
      </c>
      <c r="GE16" s="12">
        <v>3.4699999999999999E-10</v>
      </c>
      <c r="GF16">
        <v>0.62</v>
      </c>
      <c r="GG16">
        <v>7.1999999999999995E-2</v>
      </c>
      <c r="GH16">
        <v>51.755000000000003</v>
      </c>
    </row>
    <row r="17" spans="1:190">
      <c r="A17">
        <f t="shared" si="0"/>
        <v>1984</v>
      </c>
      <c r="B17">
        <v>0</v>
      </c>
      <c r="D17">
        <v>1986</v>
      </c>
      <c r="E17">
        <v>-0.27900000000000003</v>
      </c>
      <c r="F17">
        <v>0.122</v>
      </c>
      <c r="G17">
        <v>-0.4</v>
      </c>
      <c r="H17">
        <v>0.70299999999999996</v>
      </c>
      <c r="I17" s="12">
        <v>2.0299999999999998E-9</v>
      </c>
      <c r="J17">
        <v>0.20899999999999999</v>
      </c>
      <c r="K17">
        <v>0.313</v>
      </c>
      <c r="L17">
        <v>0.35499999999999998</v>
      </c>
      <c r="O17">
        <v>1991</v>
      </c>
      <c r="P17">
        <v>0.17699999999999999</v>
      </c>
      <c r="Q17">
        <v>9.2999999999999999E-2</v>
      </c>
      <c r="R17">
        <v>8.3000000000000004E-2</v>
      </c>
      <c r="S17">
        <v>0.70299999999999996</v>
      </c>
      <c r="T17" s="12">
        <v>1.96E-8</v>
      </c>
      <c r="U17">
        <v>0.17599999999999999</v>
      </c>
      <c r="V17">
        <v>0.16200000000000001</v>
      </c>
      <c r="W17">
        <v>3.5999999999999997E-2</v>
      </c>
      <c r="Z17">
        <v>1975</v>
      </c>
      <c r="AA17">
        <v>0.25</v>
      </c>
      <c r="AB17">
        <v>-6.2E-2</v>
      </c>
      <c r="AC17">
        <v>0.312</v>
      </c>
      <c r="AD17">
        <v>0.70299999999999996</v>
      </c>
      <c r="AE17" s="12">
        <v>2.5800000000000001E-7</v>
      </c>
      <c r="AF17">
        <v>1.034</v>
      </c>
      <c r="AG17">
        <v>0.75700000000000001</v>
      </c>
      <c r="AH17">
        <v>7.0000000000000001E-3</v>
      </c>
      <c r="AL17">
        <v>1998</v>
      </c>
      <c r="AM17">
        <v>-3.9E-2</v>
      </c>
      <c r="AN17">
        <v>0.02</v>
      </c>
      <c r="AO17">
        <v>-0.06</v>
      </c>
      <c r="AP17">
        <v>0.70299999999999996</v>
      </c>
      <c r="AQ17" s="12">
        <v>2.6199999999999999E-7</v>
      </c>
      <c r="AR17">
        <v>0.90100000000000002</v>
      </c>
      <c r="AS17">
        <v>0.95699999999999996</v>
      </c>
      <c r="AT17">
        <v>0.109</v>
      </c>
      <c r="AX17">
        <v>1991</v>
      </c>
      <c r="AY17">
        <v>-0.437</v>
      </c>
      <c r="AZ17">
        <v>0.13300000000000001</v>
      </c>
      <c r="BA17">
        <v>-0.56899999999999995</v>
      </c>
      <c r="BB17">
        <v>0.70299999999999996</v>
      </c>
      <c r="BC17" s="12">
        <v>1.2800000000000001E-7</v>
      </c>
      <c r="BD17">
        <v>0.56899999999999995</v>
      </c>
      <c r="BE17">
        <v>1.006</v>
      </c>
      <c r="BF17">
        <v>0.48699999999999999</v>
      </c>
      <c r="BJ17">
        <v>1992</v>
      </c>
      <c r="BK17">
        <v>0.21</v>
      </c>
      <c r="BL17">
        <v>0.114</v>
      </c>
      <c r="BM17">
        <v>9.6000000000000002E-2</v>
      </c>
      <c r="BN17">
        <v>0.70299999999999996</v>
      </c>
      <c r="BO17" s="12">
        <v>2.6E-7</v>
      </c>
      <c r="BP17">
        <v>1.1639999999999999</v>
      </c>
      <c r="BQ17">
        <v>1.0569999999999999</v>
      </c>
      <c r="BR17">
        <v>3.1E-2</v>
      </c>
      <c r="BV17">
        <v>1996</v>
      </c>
      <c r="BW17">
        <v>-1.0999999999999999E-2</v>
      </c>
      <c r="BX17">
        <v>6.5000000000000002E-2</v>
      </c>
      <c r="BY17">
        <v>-7.5999999999999998E-2</v>
      </c>
      <c r="BZ17">
        <v>0.70299999999999996</v>
      </c>
      <c r="CA17" s="12">
        <v>3.2800000000000003E-7</v>
      </c>
      <c r="CB17">
        <v>0.90500000000000003</v>
      </c>
      <c r="CC17">
        <v>0.97599999999999998</v>
      </c>
      <c r="CD17">
        <v>0.11899999999999999</v>
      </c>
      <c r="CH17">
        <v>1988</v>
      </c>
      <c r="CI17">
        <v>9.5000000000000001E-2</v>
      </c>
      <c r="CJ17">
        <v>0.33500000000000002</v>
      </c>
      <c r="CK17">
        <v>-0.24</v>
      </c>
      <c r="CL17">
        <v>0.70299999999999996</v>
      </c>
      <c r="CM17" s="12">
        <v>3.0199999999999999E-8</v>
      </c>
      <c r="CN17">
        <v>6.3040000000000003</v>
      </c>
      <c r="CO17">
        <v>8.0109999999999992</v>
      </c>
      <c r="CP17">
        <v>0.23200000000000001</v>
      </c>
      <c r="CT17">
        <v>1996</v>
      </c>
      <c r="CU17">
        <v>2.9000000000000001E-2</v>
      </c>
      <c r="CV17">
        <v>-7.0000000000000001E-3</v>
      </c>
      <c r="CW17">
        <v>3.5999999999999997E-2</v>
      </c>
      <c r="CX17">
        <v>0.70299999999999996</v>
      </c>
      <c r="CY17" s="12">
        <v>1.9300000000000001E-8</v>
      </c>
      <c r="CZ17">
        <v>1.91</v>
      </c>
      <c r="DA17">
        <v>1.843</v>
      </c>
      <c r="DB17">
        <v>5.7000000000000002E-2</v>
      </c>
      <c r="DF17">
        <v>1975</v>
      </c>
      <c r="DG17">
        <v>3.6999999999999998E-2</v>
      </c>
      <c r="DH17">
        <v>2.1999999999999999E-2</v>
      </c>
      <c r="DI17">
        <v>1.4E-2</v>
      </c>
      <c r="DJ17">
        <v>0.70299999999999996</v>
      </c>
      <c r="DK17" s="12">
        <v>4.0100000000000002E-8</v>
      </c>
      <c r="DL17">
        <v>4.7439999999999998</v>
      </c>
      <c r="DM17">
        <v>4.6769999999999996</v>
      </c>
      <c r="DN17">
        <v>6.8000000000000005E-2</v>
      </c>
      <c r="DR17">
        <v>1975</v>
      </c>
      <c r="DS17">
        <v>-0.66400000000000003</v>
      </c>
      <c r="DT17">
        <v>-7.4999999999999997E-2</v>
      </c>
      <c r="DU17">
        <v>-0.58899999999999997</v>
      </c>
      <c r="DV17">
        <v>0.70299999999999996</v>
      </c>
      <c r="DW17" s="12">
        <v>5.6500000000000001E-9</v>
      </c>
      <c r="DX17">
        <v>0.40500000000000003</v>
      </c>
      <c r="DY17">
        <v>0.73</v>
      </c>
      <c r="DZ17">
        <v>0.502</v>
      </c>
      <c r="ED17">
        <v>1986</v>
      </c>
      <c r="EE17">
        <v>0.16400000000000001</v>
      </c>
      <c r="EF17">
        <v>4.1000000000000002E-2</v>
      </c>
      <c r="EG17">
        <v>0.123</v>
      </c>
      <c r="EH17">
        <v>0.70299999999999996</v>
      </c>
      <c r="EI17" s="12">
        <v>6.44E-7</v>
      </c>
      <c r="EJ17">
        <v>4.1239999999999997</v>
      </c>
      <c r="EK17">
        <v>3.6469999999999998</v>
      </c>
      <c r="EL17">
        <v>2.1000000000000001E-2</v>
      </c>
      <c r="FB17">
        <v>1975</v>
      </c>
      <c r="FC17">
        <v>-0.21199999999999999</v>
      </c>
      <c r="FD17">
        <v>-6.7000000000000004E-2</v>
      </c>
      <c r="FE17">
        <v>-0.14499999999999999</v>
      </c>
      <c r="FF17">
        <v>0.70299999999999996</v>
      </c>
      <c r="FG17" s="12">
        <v>2.3900000000000001E-7</v>
      </c>
      <c r="FH17">
        <v>0.64100000000000001</v>
      </c>
      <c r="FI17">
        <v>0.74099999999999999</v>
      </c>
      <c r="FJ17">
        <v>0.16400000000000001</v>
      </c>
      <c r="FN17">
        <v>1985</v>
      </c>
      <c r="FO17">
        <v>9.5000000000000001E-2</v>
      </c>
      <c r="FP17">
        <v>-0.19900000000000001</v>
      </c>
      <c r="FQ17">
        <v>0.29399999999999998</v>
      </c>
      <c r="FR17">
        <v>0.70299999999999996</v>
      </c>
      <c r="FS17" s="12">
        <v>5.7299999999999999E-9</v>
      </c>
      <c r="FT17">
        <v>0.6</v>
      </c>
      <c r="FU17">
        <v>0.44700000000000001</v>
      </c>
      <c r="FV17">
        <v>3.0000000000000001E-3</v>
      </c>
      <c r="FZ17">
        <v>1985</v>
      </c>
      <c r="GA17">
        <v>1.3380000000000001</v>
      </c>
      <c r="GB17">
        <v>9.8000000000000004E-2</v>
      </c>
      <c r="GC17">
        <v>1.2390000000000001</v>
      </c>
      <c r="GD17">
        <v>0.70299999999999996</v>
      </c>
      <c r="GE17" s="12">
        <v>3.4699999999999999E-10</v>
      </c>
      <c r="GF17">
        <v>0.26900000000000002</v>
      </c>
      <c r="GG17">
        <v>7.8E-2</v>
      </c>
      <c r="GH17">
        <v>4.492</v>
      </c>
    </row>
    <row r="18" spans="1:190">
      <c r="A18">
        <f t="shared" si="0"/>
        <v>1985</v>
      </c>
      <c r="B18">
        <v>0</v>
      </c>
      <c r="D18">
        <v>1987</v>
      </c>
      <c r="E18">
        <v>6.3E-2</v>
      </c>
      <c r="F18">
        <v>0.35099999999999998</v>
      </c>
      <c r="G18">
        <v>-0.28799999999999998</v>
      </c>
      <c r="H18">
        <v>0.70299999999999996</v>
      </c>
      <c r="I18" s="12">
        <v>2.0299999999999998E-9</v>
      </c>
      <c r="J18">
        <v>0.29499999999999998</v>
      </c>
      <c r="K18">
        <v>0.39300000000000002</v>
      </c>
      <c r="L18">
        <v>0.26900000000000002</v>
      </c>
      <c r="O18">
        <v>1992</v>
      </c>
      <c r="P18">
        <v>-0.3</v>
      </c>
      <c r="Q18">
        <v>0.09</v>
      </c>
      <c r="R18">
        <v>-0.39</v>
      </c>
      <c r="S18">
        <v>0.70299999999999996</v>
      </c>
      <c r="T18" s="12">
        <v>1.96E-8</v>
      </c>
      <c r="U18">
        <v>0.109</v>
      </c>
      <c r="V18">
        <v>0.16200000000000001</v>
      </c>
      <c r="W18">
        <v>0.34699999999999998</v>
      </c>
      <c r="Z18">
        <v>1976</v>
      </c>
      <c r="AA18">
        <v>0.28799999999999998</v>
      </c>
      <c r="AB18">
        <v>-0.16</v>
      </c>
      <c r="AC18">
        <v>0.44800000000000001</v>
      </c>
      <c r="AD18">
        <v>0.70299999999999996</v>
      </c>
      <c r="AE18" s="12">
        <v>2.5800000000000001E-7</v>
      </c>
      <c r="AF18">
        <v>1.075</v>
      </c>
      <c r="AG18">
        <v>0.68700000000000006</v>
      </c>
      <c r="AH18">
        <v>7.6999999999999999E-2</v>
      </c>
      <c r="AL18">
        <v>1999</v>
      </c>
      <c r="AM18">
        <v>0.38200000000000001</v>
      </c>
      <c r="AN18">
        <v>0.03</v>
      </c>
      <c r="AO18">
        <v>0.35199999999999998</v>
      </c>
      <c r="AP18">
        <v>0.70299999999999996</v>
      </c>
      <c r="AQ18" s="12">
        <v>2.6199999999999999E-7</v>
      </c>
      <c r="AR18">
        <v>1.373</v>
      </c>
      <c r="AS18">
        <v>0.96599999999999997</v>
      </c>
      <c r="AT18">
        <v>1.9E-2</v>
      </c>
      <c r="AX18">
        <v>1992</v>
      </c>
      <c r="AY18">
        <v>-0.82</v>
      </c>
      <c r="AZ18">
        <v>0.13100000000000001</v>
      </c>
      <c r="BA18">
        <v>-0.95099999999999996</v>
      </c>
      <c r="BB18">
        <v>0.70299999999999996</v>
      </c>
      <c r="BC18" s="12">
        <v>1.2800000000000001E-7</v>
      </c>
      <c r="BD18">
        <v>0.38800000000000001</v>
      </c>
      <c r="BE18">
        <v>1.004</v>
      </c>
      <c r="BF18">
        <v>0.76100000000000001</v>
      </c>
      <c r="BJ18">
        <v>1993</v>
      </c>
      <c r="BK18">
        <v>-0.27900000000000003</v>
      </c>
      <c r="BL18">
        <v>9.1999999999999998E-2</v>
      </c>
      <c r="BM18">
        <v>-0.371</v>
      </c>
      <c r="BN18">
        <v>0.70299999999999996</v>
      </c>
      <c r="BO18" s="12">
        <v>2.6E-7</v>
      </c>
      <c r="BP18">
        <v>0.71299999999999997</v>
      </c>
      <c r="BQ18">
        <v>1.034</v>
      </c>
      <c r="BR18">
        <v>0.33200000000000002</v>
      </c>
      <c r="BV18">
        <v>1997</v>
      </c>
      <c r="BW18">
        <v>-0.60399999999999998</v>
      </c>
      <c r="BX18">
        <v>0.03</v>
      </c>
      <c r="BY18">
        <v>-0.63500000000000001</v>
      </c>
      <c r="BZ18">
        <v>0.70299999999999996</v>
      </c>
      <c r="CA18" s="12">
        <v>3.2800000000000003E-7</v>
      </c>
      <c r="CB18">
        <v>0.5</v>
      </c>
      <c r="CC18">
        <v>0.94299999999999995</v>
      </c>
      <c r="CD18">
        <v>0.53700000000000003</v>
      </c>
      <c r="CH18">
        <v>1989</v>
      </c>
      <c r="CI18">
        <v>0.86799999999999999</v>
      </c>
      <c r="CJ18">
        <v>0.315</v>
      </c>
      <c r="CK18">
        <v>0.55300000000000005</v>
      </c>
      <c r="CL18">
        <v>0.70299999999999996</v>
      </c>
      <c r="CM18" s="12">
        <v>3.0199999999999999E-8</v>
      </c>
      <c r="CN18">
        <v>13.656000000000001</v>
      </c>
      <c r="CO18">
        <v>7.8579999999999997</v>
      </c>
      <c r="CP18">
        <v>0.19900000000000001</v>
      </c>
      <c r="CT18">
        <v>1997</v>
      </c>
      <c r="CU18">
        <v>-0.13</v>
      </c>
      <c r="CV18">
        <v>7.9000000000000001E-2</v>
      </c>
      <c r="CW18">
        <v>-0.20899999999999999</v>
      </c>
      <c r="CX18">
        <v>0.70299999999999996</v>
      </c>
      <c r="CY18" s="12">
        <v>1.9300000000000001E-8</v>
      </c>
      <c r="CZ18">
        <v>1.63</v>
      </c>
      <c r="DA18">
        <v>2.0099999999999998</v>
      </c>
      <c r="DB18">
        <v>0.21</v>
      </c>
      <c r="DF18">
        <v>1976</v>
      </c>
      <c r="DG18">
        <v>2.5999999999999999E-2</v>
      </c>
      <c r="DH18">
        <v>-0.124</v>
      </c>
      <c r="DI18">
        <v>0.14899999999999999</v>
      </c>
      <c r="DJ18">
        <v>0.70299999999999996</v>
      </c>
      <c r="DK18" s="12">
        <v>4.0100000000000002E-8</v>
      </c>
      <c r="DL18">
        <v>4.6929999999999996</v>
      </c>
      <c r="DM18">
        <v>4.0419999999999998</v>
      </c>
      <c r="DN18">
        <v>1.4E-2</v>
      </c>
      <c r="DR18">
        <v>1976</v>
      </c>
      <c r="DS18">
        <v>-0.56299999999999994</v>
      </c>
      <c r="DT18">
        <v>-3.5999999999999997E-2</v>
      </c>
      <c r="DU18">
        <v>-0.52700000000000002</v>
      </c>
      <c r="DV18">
        <v>0.70299999999999996</v>
      </c>
      <c r="DW18" s="12">
        <v>5.6500000000000001E-9</v>
      </c>
      <c r="DX18">
        <v>0.44800000000000001</v>
      </c>
      <c r="DY18">
        <v>0.75900000000000001</v>
      </c>
      <c r="DZ18">
        <v>0.45400000000000001</v>
      </c>
      <c r="ED18">
        <v>1987</v>
      </c>
      <c r="EE18">
        <v>0.127</v>
      </c>
      <c r="EF18">
        <v>0.22700000000000001</v>
      </c>
      <c r="EG18">
        <v>-0.1</v>
      </c>
      <c r="EH18">
        <v>0.70299999999999996</v>
      </c>
      <c r="EI18" s="12">
        <v>6.44E-7</v>
      </c>
      <c r="EJ18">
        <v>3.976</v>
      </c>
      <c r="EK18">
        <v>4.3949999999999996</v>
      </c>
      <c r="EL18">
        <v>0.13500000000000001</v>
      </c>
      <c r="FB18">
        <v>1976</v>
      </c>
      <c r="FC18">
        <v>-4.1000000000000002E-2</v>
      </c>
      <c r="FD18">
        <v>-0.153</v>
      </c>
      <c r="FE18">
        <v>0.112</v>
      </c>
      <c r="FF18">
        <v>0.70299999999999996</v>
      </c>
      <c r="FG18" s="12">
        <v>2.3900000000000001E-7</v>
      </c>
      <c r="FH18">
        <v>0.76</v>
      </c>
      <c r="FI18">
        <v>0.68</v>
      </c>
      <c r="FJ18">
        <v>2.5000000000000001E-2</v>
      </c>
      <c r="FN18">
        <v>1986</v>
      </c>
      <c r="FO18">
        <v>4.3999999999999997E-2</v>
      </c>
      <c r="FP18">
        <v>-0.112</v>
      </c>
      <c r="FQ18">
        <v>0.156</v>
      </c>
      <c r="FR18">
        <v>0.70299999999999996</v>
      </c>
      <c r="FS18" s="12">
        <v>5.7299999999999999E-9</v>
      </c>
      <c r="FT18">
        <v>0.56999999999999995</v>
      </c>
      <c r="FU18">
        <v>0.48799999999999999</v>
      </c>
      <c r="FV18">
        <v>1.2E-2</v>
      </c>
      <c r="FZ18">
        <v>1986</v>
      </c>
      <c r="GA18">
        <v>0.89600000000000002</v>
      </c>
      <c r="GB18">
        <v>9.0999999999999998E-2</v>
      </c>
      <c r="GC18">
        <v>0.80500000000000005</v>
      </c>
      <c r="GD18">
        <v>0.70299999999999996</v>
      </c>
      <c r="GE18" s="12">
        <v>3.4699999999999999E-10</v>
      </c>
      <c r="GF18">
        <v>0.17299999999999999</v>
      </c>
      <c r="GG18">
        <v>7.6999999999999999E-2</v>
      </c>
      <c r="GH18">
        <v>0.871</v>
      </c>
    </row>
    <row r="19" spans="1:190">
      <c r="A19">
        <f t="shared" si="0"/>
        <v>1986</v>
      </c>
      <c r="B19">
        <v>0</v>
      </c>
      <c r="D19">
        <v>1988</v>
      </c>
      <c r="E19">
        <v>0.16500000000000001</v>
      </c>
      <c r="F19">
        <v>0.316</v>
      </c>
      <c r="G19">
        <v>-0.15</v>
      </c>
      <c r="H19">
        <v>0.70299999999999996</v>
      </c>
      <c r="I19" s="12">
        <v>2.0299999999999998E-9</v>
      </c>
      <c r="J19">
        <v>0.32700000000000001</v>
      </c>
      <c r="K19">
        <v>0.38</v>
      </c>
      <c r="L19">
        <v>0.16800000000000001</v>
      </c>
      <c r="O19">
        <v>1993</v>
      </c>
      <c r="P19">
        <v>-1.0129999999999999</v>
      </c>
      <c r="Q19">
        <v>0.106</v>
      </c>
      <c r="R19">
        <v>-1.119</v>
      </c>
      <c r="S19">
        <v>0.70299999999999996</v>
      </c>
      <c r="T19" s="12">
        <v>1.96E-8</v>
      </c>
      <c r="U19">
        <v>5.3999999999999999E-2</v>
      </c>
      <c r="V19">
        <v>0.16400000000000001</v>
      </c>
      <c r="W19">
        <v>0.86699999999999999</v>
      </c>
      <c r="Z19">
        <v>1977</v>
      </c>
      <c r="AA19">
        <v>0.10299999999999999</v>
      </c>
      <c r="AB19">
        <v>-9.6000000000000002E-2</v>
      </c>
      <c r="AC19">
        <v>0.19900000000000001</v>
      </c>
      <c r="AD19">
        <v>0.70299999999999996</v>
      </c>
      <c r="AE19" s="12">
        <v>2.5800000000000001E-7</v>
      </c>
      <c r="AF19">
        <v>0.89300000000000002</v>
      </c>
      <c r="AG19">
        <v>0.73199999999999998</v>
      </c>
      <c r="AH19">
        <v>3.0000000000000001E-3</v>
      </c>
      <c r="AL19">
        <v>2000</v>
      </c>
      <c r="AM19">
        <v>1E-3</v>
      </c>
      <c r="AN19">
        <v>9.7000000000000003E-2</v>
      </c>
      <c r="AO19">
        <v>-9.6000000000000002E-2</v>
      </c>
      <c r="AP19">
        <v>0.70299999999999996</v>
      </c>
      <c r="AQ19" s="12">
        <v>2.6199999999999999E-7</v>
      </c>
      <c r="AR19">
        <v>0.93799999999999994</v>
      </c>
      <c r="AS19">
        <v>1.0329999999999999</v>
      </c>
      <c r="AT19">
        <v>0.13200000000000001</v>
      </c>
      <c r="AX19">
        <v>1993</v>
      </c>
      <c r="AY19">
        <v>3.0000000000000001E-3</v>
      </c>
      <c r="AZ19">
        <v>9.6000000000000002E-2</v>
      </c>
      <c r="BA19">
        <v>-9.2999999999999999E-2</v>
      </c>
      <c r="BB19">
        <v>0.70299999999999996</v>
      </c>
      <c r="BC19" s="12">
        <v>1.2800000000000001E-7</v>
      </c>
      <c r="BD19">
        <v>0.88300000000000001</v>
      </c>
      <c r="BE19">
        <v>0.97</v>
      </c>
      <c r="BF19">
        <v>0.13</v>
      </c>
      <c r="BJ19">
        <v>1994</v>
      </c>
      <c r="BK19">
        <v>-0.125</v>
      </c>
      <c r="BL19">
        <v>7.0000000000000007E-2</v>
      </c>
      <c r="BM19">
        <v>-0.19500000000000001</v>
      </c>
      <c r="BN19">
        <v>0.70299999999999996</v>
      </c>
      <c r="BO19" s="12">
        <v>2.6E-7</v>
      </c>
      <c r="BP19">
        <v>0.83199999999999996</v>
      </c>
      <c r="BQ19">
        <v>1.0109999999999999</v>
      </c>
      <c r="BR19">
        <v>0.19900000000000001</v>
      </c>
      <c r="BV19">
        <v>1998</v>
      </c>
      <c r="BW19">
        <v>-5.0999999999999997E-2</v>
      </c>
      <c r="BX19">
        <v>-6.0999999999999999E-2</v>
      </c>
      <c r="BY19">
        <v>0.01</v>
      </c>
      <c r="BZ19">
        <v>0.70299999999999996</v>
      </c>
      <c r="CA19" s="12">
        <v>3.2800000000000003E-7</v>
      </c>
      <c r="CB19">
        <v>0.87</v>
      </c>
      <c r="CC19">
        <v>0.86099999999999999</v>
      </c>
      <c r="CD19">
        <v>7.0000000000000007E-2</v>
      </c>
      <c r="CH19">
        <v>1990</v>
      </c>
      <c r="CI19">
        <v>0.2</v>
      </c>
      <c r="CJ19">
        <v>0.19400000000000001</v>
      </c>
      <c r="CK19">
        <v>5.0000000000000001E-3</v>
      </c>
      <c r="CL19">
        <v>0.70299999999999996</v>
      </c>
      <c r="CM19" s="12">
        <v>3.0199999999999999E-8</v>
      </c>
      <c r="CN19">
        <v>7.0019999999999998</v>
      </c>
      <c r="CO19">
        <v>6.9640000000000004</v>
      </c>
      <c r="CP19">
        <v>7.1999999999999995E-2</v>
      </c>
      <c r="CT19">
        <v>1998</v>
      </c>
      <c r="CU19">
        <v>-0.42799999999999999</v>
      </c>
      <c r="CV19">
        <v>0.28399999999999997</v>
      </c>
      <c r="CW19">
        <v>-0.71199999999999997</v>
      </c>
      <c r="CX19">
        <v>0.70299999999999996</v>
      </c>
      <c r="CY19" s="12">
        <v>1.9300000000000001E-8</v>
      </c>
      <c r="CZ19">
        <v>1.21</v>
      </c>
      <c r="DA19">
        <v>2.4660000000000002</v>
      </c>
      <c r="DB19">
        <v>0.59399999999999997</v>
      </c>
      <c r="DF19">
        <v>1977</v>
      </c>
      <c r="DG19">
        <v>8.0000000000000002E-3</v>
      </c>
      <c r="DH19">
        <v>-0.104</v>
      </c>
      <c r="DI19">
        <v>0.112</v>
      </c>
      <c r="DJ19">
        <v>0.70299999999999996</v>
      </c>
      <c r="DK19" s="12">
        <v>4.0100000000000002E-8</v>
      </c>
      <c r="DL19">
        <v>4.6100000000000003</v>
      </c>
      <c r="DM19">
        <v>4.12</v>
      </c>
      <c r="DN19">
        <v>2.5000000000000001E-2</v>
      </c>
      <c r="DR19">
        <v>1977</v>
      </c>
      <c r="DS19">
        <v>-0.14000000000000001</v>
      </c>
      <c r="DT19">
        <v>0.125</v>
      </c>
      <c r="DU19">
        <v>-0.26500000000000001</v>
      </c>
      <c r="DV19">
        <v>0.70299999999999996</v>
      </c>
      <c r="DW19" s="12">
        <v>5.6500000000000001E-9</v>
      </c>
      <c r="DX19">
        <v>0.68400000000000005</v>
      </c>
      <c r="DY19">
        <v>0.89100000000000001</v>
      </c>
      <c r="DZ19">
        <v>0.251</v>
      </c>
      <c r="ED19">
        <v>1988</v>
      </c>
      <c r="EE19">
        <v>0.77700000000000002</v>
      </c>
      <c r="EF19">
        <v>0.33300000000000002</v>
      </c>
      <c r="EG19">
        <v>0.44400000000000001</v>
      </c>
      <c r="EH19">
        <v>0.70299999999999996</v>
      </c>
      <c r="EI19" s="12">
        <v>6.44E-7</v>
      </c>
      <c r="EJ19">
        <v>7.6130000000000004</v>
      </c>
      <c r="EK19">
        <v>4.8840000000000003</v>
      </c>
      <c r="EL19">
        <v>7.3999999999999996E-2</v>
      </c>
      <c r="FB19">
        <v>1977</v>
      </c>
      <c r="FC19">
        <v>-0.14499999999999999</v>
      </c>
      <c r="FD19">
        <v>-8.5000000000000006E-2</v>
      </c>
      <c r="FE19">
        <v>-0.06</v>
      </c>
      <c r="FF19">
        <v>0.70299999999999996</v>
      </c>
      <c r="FG19" s="12">
        <v>2.3900000000000001E-7</v>
      </c>
      <c r="FH19">
        <v>0.68500000000000005</v>
      </c>
      <c r="FI19">
        <v>0.72699999999999998</v>
      </c>
      <c r="FJ19">
        <v>0.109</v>
      </c>
      <c r="FN19">
        <v>1987</v>
      </c>
      <c r="FO19">
        <v>0.128</v>
      </c>
      <c r="FP19">
        <v>-6.6000000000000003E-2</v>
      </c>
      <c r="FQ19">
        <v>0.19400000000000001</v>
      </c>
      <c r="FR19">
        <v>0.70299999999999996</v>
      </c>
      <c r="FS19" s="12">
        <v>5.7299999999999999E-9</v>
      </c>
      <c r="FT19">
        <v>0.62</v>
      </c>
      <c r="FU19">
        <v>0.51100000000000001</v>
      </c>
      <c r="FV19">
        <v>4.0000000000000001E-3</v>
      </c>
      <c r="FZ19">
        <v>1987</v>
      </c>
      <c r="GA19">
        <v>1.7</v>
      </c>
      <c r="GB19">
        <v>0.25900000000000001</v>
      </c>
      <c r="GC19">
        <v>1.44</v>
      </c>
      <c r="GD19">
        <v>0.70299999999999996</v>
      </c>
      <c r="GE19" s="12">
        <v>3.4699999999999999E-10</v>
      </c>
      <c r="GF19">
        <v>0.38700000000000001</v>
      </c>
      <c r="GG19">
        <v>9.1999999999999998E-2</v>
      </c>
      <c r="GH19">
        <v>8.2360000000000007</v>
      </c>
    </row>
    <row r="20" spans="1:190">
      <c r="A20">
        <f t="shared" si="0"/>
        <v>1987</v>
      </c>
      <c r="B20">
        <v>0</v>
      </c>
      <c r="D20">
        <v>1989</v>
      </c>
      <c r="E20">
        <v>7.5999999999999998E-2</v>
      </c>
      <c r="F20">
        <v>0.27400000000000002</v>
      </c>
      <c r="G20">
        <v>-0.19800000000000001</v>
      </c>
      <c r="H20">
        <v>0.70299999999999996</v>
      </c>
      <c r="I20" s="12">
        <v>2.0299999999999998E-9</v>
      </c>
      <c r="J20">
        <v>0.29899999999999999</v>
      </c>
      <c r="K20">
        <v>0.36399999999999999</v>
      </c>
      <c r="L20">
        <v>0.20200000000000001</v>
      </c>
      <c r="O20">
        <v>1994</v>
      </c>
      <c r="P20">
        <v>-0.46800000000000003</v>
      </c>
      <c r="Q20">
        <v>9.4E-2</v>
      </c>
      <c r="R20">
        <v>-0.56200000000000006</v>
      </c>
      <c r="S20">
        <v>0.70299999999999996</v>
      </c>
      <c r="T20" s="12">
        <v>1.96E-8</v>
      </c>
      <c r="U20">
        <v>9.2999999999999999E-2</v>
      </c>
      <c r="V20">
        <v>0.16200000000000001</v>
      </c>
      <c r="W20">
        <v>0.48099999999999998</v>
      </c>
      <c r="Z20">
        <v>1978</v>
      </c>
      <c r="AA20">
        <v>0.45200000000000001</v>
      </c>
      <c r="AB20">
        <v>4.5999999999999999E-2</v>
      </c>
      <c r="AC20">
        <v>0.40600000000000003</v>
      </c>
      <c r="AD20">
        <v>0.70299999999999996</v>
      </c>
      <c r="AE20" s="12">
        <v>2.5800000000000001E-7</v>
      </c>
      <c r="AF20">
        <v>1.266</v>
      </c>
      <c r="AG20">
        <v>0.84399999999999997</v>
      </c>
      <c r="AH20">
        <v>4.5999999999999999E-2</v>
      </c>
      <c r="AL20">
        <v>2001</v>
      </c>
      <c r="AM20">
        <v>-0.23200000000000001</v>
      </c>
      <c r="AN20">
        <v>0.13100000000000001</v>
      </c>
      <c r="AO20">
        <v>-0.36299999999999999</v>
      </c>
      <c r="AP20">
        <v>0.70299999999999996</v>
      </c>
      <c r="AQ20" s="12">
        <v>2.6199999999999999E-7</v>
      </c>
      <c r="AR20">
        <v>0.74299999999999999</v>
      </c>
      <c r="AS20">
        <v>1.069</v>
      </c>
      <c r="AT20">
        <v>0.32600000000000001</v>
      </c>
      <c r="AX20">
        <v>1994</v>
      </c>
      <c r="AY20">
        <v>0.66500000000000004</v>
      </c>
      <c r="AZ20">
        <v>0.13300000000000001</v>
      </c>
      <c r="BA20">
        <v>0.53200000000000003</v>
      </c>
      <c r="BB20">
        <v>0.70299999999999996</v>
      </c>
      <c r="BC20" s="12">
        <v>1.2800000000000001E-7</v>
      </c>
      <c r="BD20">
        <v>1.712</v>
      </c>
      <c r="BE20">
        <v>1.006</v>
      </c>
      <c r="BF20">
        <v>0.16900000000000001</v>
      </c>
      <c r="BJ20">
        <v>1995</v>
      </c>
      <c r="BK20">
        <v>-0.04</v>
      </c>
      <c r="BL20">
        <v>0.106</v>
      </c>
      <c r="BM20">
        <v>-0.14599999999999999</v>
      </c>
      <c r="BN20">
        <v>0.70299999999999996</v>
      </c>
      <c r="BO20" s="12">
        <v>2.6E-7</v>
      </c>
      <c r="BP20">
        <v>0.90600000000000003</v>
      </c>
      <c r="BQ20">
        <v>1.0489999999999999</v>
      </c>
      <c r="BR20">
        <v>0.16500000000000001</v>
      </c>
      <c r="BV20">
        <v>1999</v>
      </c>
      <c r="BW20">
        <v>-7.4999999999999997E-2</v>
      </c>
      <c r="BX20">
        <v>-7.3999999999999996E-2</v>
      </c>
      <c r="BY20">
        <v>0</v>
      </c>
      <c r="BZ20">
        <v>0.70299999999999996</v>
      </c>
      <c r="CA20" s="12">
        <v>3.2800000000000003E-7</v>
      </c>
      <c r="CB20">
        <v>0.84899999999999998</v>
      </c>
      <c r="CC20">
        <v>0.85</v>
      </c>
      <c r="CD20">
        <v>7.4999999999999997E-2</v>
      </c>
      <c r="CH20">
        <v>1991</v>
      </c>
      <c r="CI20">
        <v>0.221</v>
      </c>
      <c r="CJ20">
        <v>0.184</v>
      </c>
      <c r="CK20">
        <v>3.6999999999999998E-2</v>
      </c>
      <c r="CL20">
        <v>0.70299999999999996</v>
      </c>
      <c r="CM20" s="12">
        <v>3.0199999999999999E-8</v>
      </c>
      <c r="CN20">
        <v>7.1509999999999998</v>
      </c>
      <c r="CO20">
        <v>6.89</v>
      </c>
      <c r="CP20">
        <v>5.6000000000000001E-2</v>
      </c>
      <c r="CT20">
        <v>1999</v>
      </c>
      <c r="CU20">
        <v>3.4000000000000002E-2</v>
      </c>
      <c r="CV20">
        <v>4.4999999999999998E-2</v>
      </c>
      <c r="CW20">
        <v>-1.0999999999999999E-2</v>
      </c>
      <c r="CX20">
        <v>0.70299999999999996</v>
      </c>
      <c r="CY20" s="12">
        <v>1.9300000000000001E-8</v>
      </c>
      <c r="CZ20">
        <v>1.92</v>
      </c>
      <c r="DA20">
        <v>1.9419999999999999</v>
      </c>
      <c r="DB20">
        <v>8.1000000000000003E-2</v>
      </c>
      <c r="DF20">
        <v>1978</v>
      </c>
      <c r="DG20">
        <v>-8.5999999999999993E-2</v>
      </c>
      <c r="DH20">
        <v>0.01</v>
      </c>
      <c r="DI20">
        <v>-9.6000000000000002E-2</v>
      </c>
      <c r="DJ20">
        <v>0.70299999999999996</v>
      </c>
      <c r="DK20" s="12">
        <v>4.0100000000000002E-8</v>
      </c>
      <c r="DL20">
        <v>4.1950000000000003</v>
      </c>
      <c r="DM20">
        <v>4.6180000000000003</v>
      </c>
      <c r="DN20">
        <v>0.13200000000000001</v>
      </c>
      <c r="DR20">
        <v>1978</v>
      </c>
      <c r="DS20">
        <v>-1.0920000000000001</v>
      </c>
      <c r="DT20">
        <v>0.157</v>
      </c>
      <c r="DU20">
        <v>-1.2490000000000001</v>
      </c>
      <c r="DV20">
        <v>0.70299999999999996</v>
      </c>
      <c r="DW20" s="12">
        <v>5.6500000000000001E-9</v>
      </c>
      <c r="DX20">
        <v>0.26400000000000001</v>
      </c>
      <c r="DY20">
        <v>0.92100000000000004</v>
      </c>
      <c r="DZ20">
        <v>0.94099999999999995</v>
      </c>
      <c r="ED20">
        <v>1989</v>
      </c>
      <c r="EE20">
        <v>-0.51900000000000002</v>
      </c>
      <c r="EF20">
        <v>0.27800000000000002</v>
      </c>
      <c r="EG20">
        <v>-0.79600000000000004</v>
      </c>
      <c r="EH20">
        <v>0.70299999999999996</v>
      </c>
      <c r="EI20" s="12">
        <v>6.44E-7</v>
      </c>
      <c r="EJ20">
        <v>2.085</v>
      </c>
      <c r="EK20">
        <v>4.6219999999999999</v>
      </c>
      <c r="EL20">
        <v>0.65600000000000003</v>
      </c>
      <c r="FB20">
        <v>1978</v>
      </c>
      <c r="FC20">
        <v>-0.23799999999999999</v>
      </c>
      <c r="FD20">
        <v>4.8000000000000001E-2</v>
      </c>
      <c r="FE20">
        <v>-0.28599999999999998</v>
      </c>
      <c r="FF20">
        <v>0.70299999999999996</v>
      </c>
      <c r="FG20" s="12">
        <v>2.3900000000000001E-7</v>
      </c>
      <c r="FH20">
        <v>0.624</v>
      </c>
      <c r="FI20">
        <v>0.83099999999999996</v>
      </c>
      <c r="FJ20">
        <v>0.26700000000000002</v>
      </c>
      <c r="FN20">
        <v>1988</v>
      </c>
      <c r="FO20">
        <v>4.3999999999999997E-2</v>
      </c>
      <c r="FP20">
        <v>0.32300000000000001</v>
      </c>
      <c r="FQ20">
        <v>-0.28000000000000003</v>
      </c>
      <c r="FR20">
        <v>0.70299999999999996</v>
      </c>
      <c r="FS20" s="12">
        <v>5.7299999999999999E-9</v>
      </c>
      <c r="FT20">
        <v>0.56999999999999995</v>
      </c>
      <c r="FU20">
        <v>0.754</v>
      </c>
      <c r="FV20">
        <v>0.26200000000000001</v>
      </c>
      <c r="FZ20">
        <v>1988</v>
      </c>
      <c r="GA20">
        <v>1.74</v>
      </c>
      <c r="GB20">
        <v>0.30599999999999999</v>
      </c>
      <c r="GC20">
        <v>1.4339999999999999</v>
      </c>
      <c r="GD20">
        <v>0.70299999999999996</v>
      </c>
      <c r="GE20" s="12">
        <v>3.4699999999999999E-10</v>
      </c>
      <c r="GF20">
        <v>0.40200000000000002</v>
      </c>
      <c r="GG20">
        <v>9.6000000000000002E-2</v>
      </c>
      <c r="GH20">
        <v>8.0869999999999997</v>
      </c>
    </row>
    <row r="21" spans="1:190">
      <c r="A21">
        <f t="shared" si="0"/>
        <v>1988</v>
      </c>
      <c r="B21">
        <v>0</v>
      </c>
      <c r="D21">
        <v>1990</v>
      </c>
      <c r="E21">
        <v>0.80700000000000005</v>
      </c>
      <c r="F21">
        <v>0.13700000000000001</v>
      </c>
      <c r="G21">
        <v>0.66900000000000004</v>
      </c>
      <c r="H21">
        <v>0.70299999999999996</v>
      </c>
      <c r="I21" s="12">
        <v>2.0299999999999998E-9</v>
      </c>
      <c r="J21">
        <v>0.62</v>
      </c>
      <c r="K21">
        <v>0.318</v>
      </c>
      <c r="L21">
        <v>0.43</v>
      </c>
      <c r="O21">
        <v>1995</v>
      </c>
      <c r="P21">
        <v>-0.66100000000000003</v>
      </c>
      <c r="Q21">
        <v>5.6000000000000001E-2</v>
      </c>
      <c r="R21">
        <v>-0.71599999999999997</v>
      </c>
      <c r="S21">
        <v>0.70299999999999996</v>
      </c>
      <c r="T21" s="12">
        <v>1.96E-8</v>
      </c>
      <c r="U21">
        <v>7.5999999999999998E-2</v>
      </c>
      <c r="V21">
        <v>0.156</v>
      </c>
      <c r="W21">
        <v>0.59799999999999998</v>
      </c>
      <c r="Z21">
        <v>1979</v>
      </c>
      <c r="AA21">
        <v>0.76800000000000002</v>
      </c>
      <c r="AB21">
        <v>0.106</v>
      </c>
      <c r="AC21">
        <v>0.66200000000000003</v>
      </c>
      <c r="AD21">
        <v>0.70299999999999996</v>
      </c>
      <c r="AE21" s="12">
        <v>2.5800000000000001E-7</v>
      </c>
      <c r="AF21">
        <v>1.7370000000000001</v>
      </c>
      <c r="AG21">
        <v>0.89600000000000002</v>
      </c>
      <c r="AH21">
        <v>0.41299999999999998</v>
      </c>
      <c r="AL21">
        <v>2002</v>
      </c>
      <c r="AM21">
        <v>-0.17499999999999999</v>
      </c>
      <c r="AN21">
        <v>-4.5999999999999999E-2</v>
      </c>
      <c r="AO21">
        <v>-0.128</v>
      </c>
      <c r="AP21">
        <v>0.70299999999999996</v>
      </c>
      <c r="AQ21" s="12">
        <v>2.6199999999999999E-7</v>
      </c>
      <c r="AR21">
        <v>0.78700000000000003</v>
      </c>
      <c r="AS21">
        <v>0.89500000000000002</v>
      </c>
      <c r="AT21">
        <v>0.153</v>
      </c>
      <c r="AX21">
        <v>1995</v>
      </c>
      <c r="AY21">
        <v>0.49</v>
      </c>
      <c r="AZ21">
        <v>0.151</v>
      </c>
      <c r="BA21">
        <v>0.34</v>
      </c>
      <c r="BB21">
        <v>0.70299999999999996</v>
      </c>
      <c r="BC21" s="12">
        <v>1.2800000000000001E-7</v>
      </c>
      <c r="BD21">
        <v>1.4379999999999999</v>
      </c>
      <c r="BE21">
        <v>1.024</v>
      </c>
      <c r="BF21">
        <v>1.4999999999999999E-2</v>
      </c>
      <c r="BJ21">
        <v>1996</v>
      </c>
      <c r="BK21">
        <v>-0.29799999999999999</v>
      </c>
      <c r="BL21">
        <v>0.125</v>
      </c>
      <c r="BM21">
        <v>-0.42299999999999999</v>
      </c>
      <c r="BN21">
        <v>0.70299999999999996</v>
      </c>
      <c r="BO21" s="12">
        <v>2.6E-7</v>
      </c>
      <c r="BP21">
        <v>0.7</v>
      </c>
      <c r="BQ21">
        <v>1.069</v>
      </c>
      <c r="BR21">
        <v>0.372</v>
      </c>
      <c r="BV21">
        <v>2000</v>
      </c>
      <c r="BW21">
        <v>-0.375</v>
      </c>
      <c r="BX21">
        <v>-5.5E-2</v>
      </c>
      <c r="BY21">
        <v>-0.32100000000000001</v>
      </c>
      <c r="BZ21">
        <v>0.70299999999999996</v>
      </c>
      <c r="CA21" s="12">
        <v>3.2800000000000003E-7</v>
      </c>
      <c r="CB21">
        <v>0.629</v>
      </c>
      <c r="CC21">
        <v>0.86599999999999999</v>
      </c>
      <c r="CD21">
        <v>0.29299999999999998</v>
      </c>
      <c r="CH21">
        <v>1992</v>
      </c>
      <c r="CI21">
        <v>-0.17499999999999999</v>
      </c>
      <c r="CJ21">
        <v>0.129</v>
      </c>
      <c r="CK21">
        <v>-0.30399999999999999</v>
      </c>
      <c r="CL21">
        <v>0.70299999999999996</v>
      </c>
      <c r="CM21" s="12">
        <v>3.0199999999999999E-8</v>
      </c>
      <c r="CN21">
        <v>4.8120000000000003</v>
      </c>
      <c r="CO21">
        <v>6.5220000000000002</v>
      </c>
      <c r="CP21">
        <v>0.28100000000000003</v>
      </c>
      <c r="CT21">
        <v>2000</v>
      </c>
      <c r="CU21">
        <v>0.08</v>
      </c>
      <c r="CV21">
        <v>0.03</v>
      </c>
      <c r="CW21">
        <v>4.9000000000000002E-2</v>
      </c>
      <c r="CX21">
        <v>0.70299999999999996</v>
      </c>
      <c r="CY21" s="12">
        <v>1.9300000000000001E-8</v>
      </c>
      <c r="CZ21">
        <v>2.0099999999999998</v>
      </c>
      <c r="DA21">
        <v>1.9139999999999999</v>
      </c>
      <c r="DB21">
        <v>5.0999999999999997E-2</v>
      </c>
      <c r="DF21">
        <v>1979</v>
      </c>
      <c r="DG21">
        <v>-9.1999999999999998E-2</v>
      </c>
      <c r="DH21">
        <v>0.1</v>
      </c>
      <c r="DI21">
        <v>-0.192</v>
      </c>
      <c r="DJ21">
        <v>0.70299999999999996</v>
      </c>
      <c r="DK21" s="12">
        <v>4.0100000000000002E-8</v>
      </c>
      <c r="DL21">
        <v>4.1710000000000003</v>
      </c>
      <c r="DM21">
        <v>5.056</v>
      </c>
      <c r="DN21">
        <v>0.19800000000000001</v>
      </c>
      <c r="DR21">
        <v>1979</v>
      </c>
      <c r="DS21">
        <v>-0.45700000000000002</v>
      </c>
      <c r="DT21">
        <v>0.109</v>
      </c>
      <c r="DU21">
        <v>-0.56699999999999995</v>
      </c>
      <c r="DV21">
        <v>0.70299999999999996</v>
      </c>
      <c r="DW21" s="12">
        <v>5.6500000000000001E-9</v>
      </c>
      <c r="DX21">
        <v>0.498</v>
      </c>
      <c r="DY21">
        <v>0.878</v>
      </c>
      <c r="DZ21">
        <v>0.48499999999999999</v>
      </c>
      <c r="ED21">
        <v>1990</v>
      </c>
      <c r="EE21">
        <v>-0.60899999999999999</v>
      </c>
      <c r="EF21">
        <v>0.14899999999999999</v>
      </c>
      <c r="EG21">
        <v>-0.75900000000000001</v>
      </c>
      <c r="EH21">
        <v>0.70299999999999996</v>
      </c>
      <c r="EI21" s="12">
        <v>6.44E-7</v>
      </c>
      <c r="EJ21">
        <v>1.9039999999999999</v>
      </c>
      <c r="EK21">
        <v>4.0650000000000004</v>
      </c>
      <c r="EL21">
        <v>0.628</v>
      </c>
      <c r="FB21">
        <v>1979</v>
      </c>
      <c r="FC21">
        <v>-0.2</v>
      </c>
      <c r="FD21">
        <v>0.10199999999999999</v>
      </c>
      <c r="FE21">
        <v>-0.30299999999999999</v>
      </c>
      <c r="FF21">
        <v>0.70299999999999996</v>
      </c>
      <c r="FG21" s="12">
        <v>2.3900000000000001E-7</v>
      </c>
      <c r="FH21">
        <v>0.64800000000000002</v>
      </c>
      <c r="FI21">
        <v>0.877</v>
      </c>
      <c r="FJ21">
        <v>0.28000000000000003</v>
      </c>
      <c r="FN21">
        <v>1989</v>
      </c>
      <c r="FO21">
        <v>0.60599999999999998</v>
      </c>
      <c r="FP21">
        <v>0.40799999999999997</v>
      </c>
      <c r="FQ21">
        <v>0.19800000000000001</v>
      </c>
      <c r="FR21">
        <v>0.70299999999999996</v>
      </c>
      <c r="FS21" s="12">
        <v>5.7299999999999999E-9</v>
      </c>
      <c r="FT21">
        <v>1</v>
      </c>
      <c r="FU21">
        <v>0.82099999999999995</v>
      </c>
      <c r="FV21">
        <v>4.0000000000000001E-3</v>
      </c>
      <c r="FZ21">
        <v>1989</v>
      </c>
      <c r="GA21">
        <v>1.214</v>
      </c>
      <c r="GB21">
        <v>0.28799999999999998</v>
      </c>
      <c r="GC21">
        <v>0.92600000000000005</v>
      </c>
      <c r="GD21">
        <v>0.70299999999999996</v>
      </c>
      <c r="GE21" s="12">
        <v>3.4699999999999999E-10</v>
      </c>
      <c r="GF21">
        <v>0.23799999999999999</v>
      </c>
      <c r="GG21">
        <v>9.4E-2</v>
      </c>
      <c r="GH21">
        <v>1.4750000000000001</v>
      </c>
    </row>
    <row r="22" spans="1:190">
      <c r="A22">
        <f t="shared" si="0"/>
        <v>1989</v>
      </c>
      <c r="B22">
        <v>0</v>
      </c>
      <c r="D22">
        <v>1991</v>
      </c>
      <c r="E22">
        <v>-0.39</v>
      </c>
      <c r="F22">
        <v>0.25800000000000001</v>
      </c>
      <c r="G22">
        <v>-0.64800000000000002</v>
      </c>
      <c r="H22">
        <v>0.70299999999999996</v>
      </c>
      <c r="I22" s="12">
        <v>2.0299999999999998E-9</v>
      </c>
      <c r="J22">
        <v>0.187</v>
      </c>
      <c r="K22">
        <v>0.35799999999999998</v>
      </c>
      <c r="L22">
        <v>0.54600000000000004</v>
      </c>
      <c r="O22">
        <v>1996</v>
      </c>
      <c r="P22">
        <v>0.29899999999999999</v>
      </c>
      <c r="Q22">
        <v>2.5000000000000001E-2</v>
      </c>
      <c r="R22">
        <v>0.27400000000000002</v>
      </c>
      <c r="S22">
        <v>0.70299999999999996</v>
      </c>
      <c r="T22" s="12">
        <v>1.96E-8</v>
      </c>
      <c r="U22">
        <v>0.19900000000000001</v>
      </c>
      <c r="V22">
        <v>0.151</v>
      </c>
      <c r="W22">
        <v>1E-3</v>
      </c>
      <c r="Z22">
        <v>1980</v>
      </c>
      <c r="AA22">
        <v>0.19</v>
      </c>
      <c r="AB22">
        <v>0.161</v>
      </c>
      <c r="AC22">
        <v>2.9000000000000001E-2</v>
      </c>
      <c r="AD22">
        <v>0.70299999999999996</v>
      </c>
      <c r="AE22" s="12">
        <v>2.5800000000000001E-7</v>
      </c>
      <c r="AF22">
        <v>0.97399999999999998</v>
      </c>
      <c r="AG22">
        <v>0.94699999999999995</v>
      </c>
      <c r="AH22">
        <v>0.06</v>
      </c>
      <c r="AL22">
        <v>2003</v>
      </c>
      <c r="AM22">
        <v>-2.5000000000000001E-2</v>
      </c>
      <c r="AN22">
        <v>-0.214</v>
      </c>
      <c r="AO22">
        <v>0.189</v>
      </c>
      <c r="AP22">
        <v>0.70299999999999996</v>
      </c>
      <c r="AQ22" s="12">
        <v>2.6199999999999999E-7</v>
      </c>
      <c r="AR22">
        <v>0.91400000000000003</v>
      </c>
      <c r="AS22">
        <v>0.75700000000000001</v>
      </c>
      <c r="AT22">
        <v>5.0000000000000001E-3</v>
      </c>
      <c r="AX22">
        <v>1996</v>
      </c>
      <c r="AY22">
        <v>-0.71699999999999997</v>
      </c>
      <c r="AZ22">
        <v>1.0999999999999999E-2</v>
      </c>
      <c r="BA22">
        <v>-0.72799999999999998</v>
      </c>
      <c r="BB22">
        <v>0.70299999999999996</v>
      </c>
      <c r="BC22" s="12">
        <v>1.2800000000000001E-7</v>
      </c>
      <c r="BD22">
        <v>0.43</v>
      </c>
      <c r="BE22">
        <v>0.89100000000000001</v>
      </c>
      <c r="BF22">
        <v>0.60599999999999998</v>
      </c>
      <c r="BJ22">
        <v>1997</v>
      </c>
      <c r="BK22">
        <v>-0.191</v>
      </c>
      <c r="BL22">
        <v>3.6999999999999998E-2</v>
      </c>
      <c r="BM22">
        <v>-0.22800000000000001</v>
      </c>
      <c r="BN22">
        <v>0.70299999999999996</v>
      </c>
      <c r="BO22" s="12">
        <v>2.6E-7</v>
      </c>
      <c r="BP22">
        <v>0.78</v>
      </c>
      <c r="BQ22">
        <v>0.97899999999999998</v>
      </c>
      <c r="BR22">
        <v>0.223</v>
      </c>
      <c r="BV22">
        <v>2001</v>
      </c>
      <c r="BW22">
        <v>0.81499999999999995</v>
      </c>
      <c r="BX22">
        <v>-1E-3</v>
      </c>
      <c r="BY22">
        <v>0.81599999999999995</v>
      </c>
      <c r="BZ22">
        <v>0.70299999999999996</v>
      </c>
      <c r="CA22" s="12">
        <v>3.2800000000000003E-7</v>
      </c>
      <c r="CB22">
        <v>2.0670000000000002</v>
      </c>
      <c r="CC22">
        <v>0.91400000000000003</v>
      </c>
      <c r="CD22">
        <v>0.91700000000000004</v>
      </c>
      <c r="CH22">
        <v>1993</v>
      </c>
      <c r="CI22">
        <v>-0.04</v>
      </c>
      <c r="CJ22">
        <v>6.0000000000000001E-3</v>
      </c>
      <c r="CK22">
        <v>-4.5999999999999999E-2</v>
      </c>
      <c r="CL22">
        <v>0.70299999999999996</v>
      </c>
      <c r="CM22" s="12">
        <v>3.0199999999999999E-8</v>
      </c>
      <c r="CN22">
        <v>5.5110000000000001</v>
      </c>
      <c r="CO22">
        <v>5.7679999999999998</v>
      </c>
      <c r="CP22">
        <v>0.10100000000000001</v>
      </c>
      <c r="CT22">
        <v>2001</v>
      </c>
      <c r="CU22">
        <v>-1.4E-2</v>
      </c>
      <c r="CV22">
        <v>-0.156</v>
      </c>
      <c r="CW22">
        <v>0.14099999999999999</v>
      </c>
      <c r="CX22">
        <v>0.70299999999999996</v>
      </c>
      <c r="CY22" s="12">
        <v>1.9300000000000001E-8</v>
      </c>
      <c r="CZ22">
        <v>1.83</v>
      </c>
      <c r="DA22">
        <v>1.589</v>
      </c>
      <c r="DB22">
        <v>1.6E-2</v>
      </c>
      <c r="DR22">
        <v>1981</v>
      </c>
      <c r="DS22">
        <v>0.26300000000000001</v>
      </c>
      <c r="DT22">
        <v>-6.0999999999999999E-2</v>
      </c>
      <c r="DU22">
        <v>0.32400000000000001</v>
      </c>
      <c r="DV22">
        <v>0.70299999999999996</v>
      </c>
      <c r="DW22" s="12">
        <v>5.6500000000000001E-9</v>
      </c>
      <c r="DX22">
        <v>1.024</v>
      </c>
      <c r="DY22">
        <v>0.74</v>
      </c>
      <c r="DZ22">
        <v>0.01</v>
      </c>
      <c r="ED22">
        <v>1991</v>
      </c>
      <c r="EE22">
        <v>0.67200000000000004</v>
      </c>
      <c r="EF22">
        <v>0.127</v>
      </c>
      <c r="EG22">
        <v>0.54500000000000004</v>
      </c>
      <c r="EH22">
        <v>0.70299999999999996</v>
      </c>
      <c r="EI22" s="12">
        <v>6.44E-7</v>
      </c>
      <c r="EJ22">
        <v>6.8540000000000001</v>
      </c>
      <c r="EK22">
        <v>3.9740000000000002</v>
      </c>
      <c r="EL22">
        <v>0.188</v>
      </c>
      <c r="FB22">
        <v>1980</v>
      </c>
      <c r="FC22">
        <v>6.0000000000000001E-3</v>
      </c>
      <c r="FD22">
        <v>0.153</v>
      </c>
      <c r="FE22">
        <v>-0.14699999999999999</v>
      </c>
      <c r="FF22">
        <v>0.70299999999999996</v>
      </c>
      <c r="FG22" s="12">
        <v>2.3900000000000001E-7</v>
      </c>
      <c r="FH22">
        <v>0.79600000000000004</v>
      </c>
      <c r="FI22">
        <v>0.92300000000000004</v>
      </c>
      <c r="FJ22">
        <v>0.16600000000000001</v>
      </c>
      <c r="FN22">
        <v>1990</v>
      </c>
      <c r="FO22">
        <v>0.56499999999999995</v>
      </c>
      <c r="FP22">
        <v>0.27600000000000002</v>
      </c>
      <c r="FQ22">
        <v>0.28899999999999998</v>
      </c>
      <c r="FR22">
        <v>0.70299999999999996</v>
      </c>
      <c r="FS22" s="12">
        <v>5.7299999999999999E-9</v>
      </c>
      <c r="FT22">
        <v>0.96</v>
      </c>
      <c r="FU22">
        <v>0.71899999999999997</v>
      </c>
      <c r="FV22">
        <v>3.0000000000000001E-3</v>
      </c>
      <c r="FZ22">
        <v>1990</v>
      </c>
      <c r="GA22">
        <v>2.1480000000000001</v>
      </c>
      <c r="GB22">
        <v>0.17</v>
      </c>
      <c r="GC22">
        <v>1.978</v>
      </c>
      <c r="GD22">
        <v>0.70299999999999996</v>
      </c>
      <c r="GE22" s="12">
        <v>3.4699999999999999E-10</v>
      </c>
      <c r="GF22">
        <v>0.60499999999999998</v>
      </c>
      <c r="GG22">
        <v>8.4000000000000005E-2</v>
      </c>
      <c r="GH22">
        <v>33.670999999999999</v>
      </c>
    </row>
    <row r="23" spans="1:190">
      <c r="A23">
        <f t="shared" si="0"/>
        <v>1990</v>
      </c>
      <c r="B23">
        <v>0</v>
      </c>
      <c r="D23">
        <v>1992</v>
      </c>
      <c r="E23">
        <v>6.2E-2</v>
      </c>
      <c r="F23">
        <v>0.16500000000000001</v>
      </c>
      <c r="G23">
        <v>-0.10299999999999999</v>
      </c>
      <c r="H23">
        <v>0.70299999999999996</v>
      </c>
      <c r="I23" s="12">
        <v>2.0299999999999998E-9</v>
      </c>
      <c r="J23">
        <v>0.29499999999999998</v>
      </c>
      <c r="K23">
        <v>0.32600000000000001</v>
      </c>
      <c r="L23">
        <v>0.13600000000000001</v>
      </c>
      <c r="O23">
        <v>1997</v>
      </c>
      <c r="P23">
        <v>8.5000000000000006E-2</v>
      </c>
      <c r="Q23">
        <v>-1.7000000000000001E-2</v>
      </c>
      <c r="R23">
        <v>0.10199999999999999</v>
      </c>
      <c r="S23">
        <v>0.70299999999999996</v>
      </c>
      <c r="T23" s="12">
        <v>1.96E-8</v>
      </c>
      <c r="U23">
        <v>0.161</v>
      </c>
      <c r="V23">
        <v>0.14499999999999999</v>
      </c>
      <c r="W23">
        <v>2.9000000000000001E-2</v>
      </c>
      <c r="Z23">
        <v>1981</v>
      </c>
      <c r="AA23">
        <v>0.42599999999999999</v>
      </c>
      <c r="AB23">
        <v>7.0000000000000007E-2</v>
      </c>
      <c r="AC23">
        <v>0.35599999999999998</v>
      </c>
      <c r="AD23">
        <v>0.70299999999999996</v>
      </c>
      <c r="AE23" s="12">
        <v>2.5800000000000001E-7</v>
      </c>
      <c r="AF23">
        <v>1.234</v>
      </c>
      <c r="AG23">
        <v>0.86499999999999999</v>
      </c>
      <c r="AH23">
        <v>0.02</v>
      </c>
      <c r="AL23">
        <v>2004</v>
      </c>
      <c r="AM23">
        <v>-0.19500000000000001</v>
      </c>
      <c r="AN23">
        <v>-0.3</v>
      </c>
      <c r="AO23">
        <v>0.105</v>
      </c>
      <c r="AP23">
        <v>0.70299999999999996</v>
      </c>
      <c r="AQ23" s="12">
        <v>2.6199999999999999E-7</v>
      </c>
      <c r="AR23">
        <v>0.77100000000000002</v>
      </c>
      <c r="AS23">
        <v>0.69399999999999995</v>
      </c>
      <c r="AT23">
        <v>2.7E-2</v>
      </c>
      <c r="AX23">
        <v>1997</v>
      </c>
      <c r="AY23">
        <v>-0.82199999999999995</v>
      </c>
      <c r="AZ23">
        <v>-7.8E-2</v>
      </c>
      <c r="BA23">
        <v>-0.745</v>
      </c>
      <c r="BB23">
        <v>0.70299999999999996</v>
      </c>
      <c r="BC23" s="12">
        <v>1.2800000000000001E-7</v>
      </c>
      <c r="BD23">
        <v>0.38700000000000001</v>
      </c>
      <c r="BE23">
        <v>0.81499999999999995</v>
      </c>
      <c r="BF23">
        <v>0.61799999999999999</v>
      </c>
      <c r="BJ23">
        <v>1998</v>
      </c>
      <c r="BK23">
        <v>-0.316</v>
      </c>
      <c r="BL23">
        <v>-6.8000000000000005E-2</v>
      </c>
      <c r="BM23">
        <v>-0.248</v>
      </c>
      <c r="BN23">
        <v>0.70299999999999996</v>
      </c>
      <c r="BO23" s="12">
        <v>2.6E-7</v>
      </c>
      <c r="BP23">
        <v>0.68700000000000006</v>
      </c>
      <c r="BQ23">
        <v>0.88100000000000001</v>
      </c>
      <c r="BR23">
        <v>0.23899999999999999</v>
      </c>
      <c r="CH23">
        <v>1994</v>
      </c>
      <c r="CI23">
        <v>0.159</v>
      </c>
      <c r="CJ23">
        <v>0.11</v>
      </c>
      <c r="CK23">
        <v>4.9000000000000002E-2</v>
      </c>
      <c r="CL23">
        <v>0.70299999999999996</v>
      </c>
      <c r="CM23" s="12">
        <v>3.0199999999999999E-8</v>
      </c>
      <c r="CN23">
        <v>6.72</v>
      </c>
      <c r="CO23">
        <v>6.4</v>
      </c>
      <c r="CP23">
        <v>5.0999999999999997E-2</v>
      </c>
      <c r="CT23">
        <v>2002</v>
      </c>
      <c r="CU23">
        <v>8.5000000000000006E-2</v>
      </c>
      <c r="CV23">
        <v>-8.5000000000000006E-2</v>
      </c>
      <c r="CW23">
        <v>0.16900000000000001</v>
      </c>
      <c r="CX23">
        <v>0.70299999999999996</v>
      </c>
      <c r="CY23" s="12">
        <v>1.9300000000000001E-8</v>
      </c>
      <c r="CZ23">
        <v>2.02</v>
      </c>
      <c r="DA23">
        <v>1.706</v>
      </c>
      <c r="DB23">
        <v>8.9999999999999993E-3</v>
      </c>
      <c r="DR23">
        <v>1982</v>
      </c>
      <c r="DS23">
        <v>0.215</v>
      </c>
      <c r="DT23">
        <v>-7.1999999999999995E-2</v>
      </c>
      <c r="DU23">
        <v>0.28799999999999998</v>
      </c>
      <c r="DV23">
        <v>0.70299999999999996</v>
      </c>
      <c r="DW23" s="12">
        <v>5.6500000000000001E-9</v>
      </c>
      <c r="DX23">
        <v>0.97599999999999998</v>
      </c>
      <c r="DY23">
        <v>0.73199999999999998</v>
      </c>
      <c r="DZ23">
        <v>3.0000000000000001E-3</v>
      </c>
      <c r="ED23">
        <v>1992</v>
      </c>
      <c r="EE23">
        <v>0.626</v>
      </c>
      <c r="EF23">
        <v>0.13300000000000001</v>
      </c>
      <c r="EG23">
        <v>0.49299999999999999</v>
      </c>
      <c r="EH23">
        <v>0.70299999999999996</v>
      </c>
      <c r="EI23" s="12">
        <v>6.44E-7</v>
      </c>
      <c r="EJ23">
        <v>6.5449999999999999</v>
      </c>
      <c r="EK23">
        <v>3.9980000000000002</v>
      </c>
      <c r="EL23">
        <v>0.121</v>
      </c>
      <c r="FB23">
        <v>1981</v>
      </c>
      <c r="FC23">
        <v>-0.13300000000000001</v>
      </c>
      <c r="FD23">
        <v>6.3E-2</v>
      </c>
      <c r="FE23">
        <v>-0.19500000000000001</v>
      </c>
      <c r="FF23">
        <v>0.70299999999999996</v>
      </c>
      <c r="FG23" s="12">
        <v>2.3900000000000001E-7</v>
      </c>
      <c r="FH23">
        <v>0.69299999999999995</v>
      </c>
      <c r="FI23">
        <v>0.84299999999999997</v>
      </c>
      <c r="FJ23">
        <v>0.2</v>
      </c>
      <c r="FN23">
        <v>1991</v>
      </c>
      <c r="FO23">
        <v>0.23499999999999999</v>
      </c>
      <c r="FP23">
        <v>0.11600000000000001</v>
      </c>
      <c r="FQ23">
        <v>0.11899999999999999</v>
      </c>
      <c r="FR23">
        <v>0.70299999999999996</v>
      </c>
      <c r="FS23" s="12">
        <v>5.7299999999999999E-9</v>
      </c>
      <c r="FT23">
        <v>0.69</v>
      </c>
      <c r="FU23">
        <v>0.61299999999999999</v>
      </c>
      <c r="FV23">
        <v>2.3E-2</v>
      </c>
      <c r="FZ23">
        <v>1991</v>
      </c>
      <c r="GA23">
        <v>2.0249999999999999</v>
      </c>
      <c r="GB23">
        <v>0.21299999999999999</v>
      </c>
      <c r="GC23">
        <v>1.8120000000000001</v>
      </c>
      <c r="GD23">
        <v>0.70299999999999996</v>
      </c>
      <c r="GE23" s="12">
        <v>3.4699999999999999E-10</v>
      </c>
      <c r="GF23">
        <v>0.53500000000000003</v>
      </c>
      <c r="GG23">
        <v>8.6999999999999994E-2</v>
      </c>
      <c r="GH23">
        <v>22.303999999999998</v>
      </c>
    </row>
    <row r="24" spans="1:190">
      <c r="A24">
        <f t="shared" si="0"/>
        <v>1991</v>
      </c>
      <c r="B24">
        <v>0</v>
      </c>
      <c r="D24">
        <v>1993</v>
      </c>
      <c r="E24">
        <v>0.23400000000000001</v>
      </c>
      <c r="F24">
        <v>-5.0999999999999997E-2</v>
      </c>
      <c r="G24">
        <v>0.28499999999999998</v>
      </c>
      <c r="H24">
        <v>0.70299999999999996</v>
      </c>
      <c r="I24" s="12">
        <v>2.0299999999999998E-9</v>
      </c>
      <c r="J24">
        <v>0.35</v>
      </c>
      <c r="K24">
        <v>0.26300000000000001</v>
      </c>
      <c r="L24">
        <v>2E-3</v>
      </c>
      <c r="O24">
        <v>1998</v>
      </c>
      <c r="P24">
        <v>0.32700000000000001</v>
      </c>
      <c r="Q24">
        <v>5.0000000000000001E-3</v>
      </c>
      <c r="R24">
        <v>0.32300000000000001</v>
      </c>
      <c r="S24">
        <v>0.70299999999999996</v>
      </c>
      <c r="T24" s="12">
        <v>1.96E-8</v>
      </c>
      <c r="U24">
        <v>0.20499999999999999</v>
      </c>
      <c r="V24">
        <v>0.14799999999999999</v>
      </c>
      <c r="W24">
        <v>0.01</v>
      </c>
      <c r="Z24">
        <v>1982</v>
      </c>
      <c r="AA24">
        <v>0.27800000000000002</v>
      </c>
      <c r="AB24">
        <v>-0.10100000000000001</v>
      </c>
      <c r="AC24">
        <v>0.378</v>
      </c>
      <c r="AD24">
        <v>0.70299999999999996</v>
      </c>
      <c r="AE24" s="12">
        <v>2.5800000000000001E-7</v>
      </c>
      <c r="AF24">
        <v>1.0629999999999999</v>
      </c>
      <c r="AG24">
        <v>0.72899999999999998</v>
      </c>
      <c r="AH24">
        <v>3.1E-2</v>
      </c>
      <c r="AL24">
        <v>2005</v>
      </c>
      <c r="AM24">
        <v>-0.28499999999999998</v>
      </c>
      <c r="AN24">
        <v>-0.34300000000000003</v>
      </c>
      <c r="AO24">
        <v>5.8000000000000003E-2</v>
      </c>
      <c r="AP24">
        <v>0.70299999999999996</v>
      </c>
      <c r="AQ24" s="12">
        <v>2.6199999999999999E-7</v>
      </c>
      <c r="AR24">
        <v>0.70499999999999996</v>
      </c>
      <c r="AS24">
        <v>0.66500000000000004</v>
      </c>
      <c r="AT24">
        <v>4.5999999999999999E-2</v>
      </c>
      <c r="AX24">
        <v>1998</v>
      </c>
      <c r="AY24">
        <v>-0.121</v>
      </c>
      <c r="AZ24">
        <v>-8.7999999999999995E-2</v>
      </c>
      <c r="BA24">
        <v>-3.4000000000000002E-2</v>
      </c>
      <c r="BB24">
        <v>0.70299999999999996</v>
      </c>
      <c r="BC24" s="12">
        <v>1.2800000000000001E-7</v>
      </c>
      <c r="BD24">
        <v>0.78</v>
      </c>
      <c r="BE24">
        <v>0.80700000000000005</v>
      </c>
      <c r="BF24">
        <v>9.4E-2</v>
      </c>
      <c r="BJ24">
        <v>1999</v>
      </c>
      <c r="BK24">
        <v>-0.17799999999999999</v>
      </c>
      <c r="BL24">
        <v>-6.2E-2</v>
      </c>
      <c r="BM24">
        <v>-0.11700000000000001</v>
      </c>
      <c r="BN24">
        <v>0.70299999999999996</v>
      </c>
      <c r="BO24" s="12">
        <v>2.6E-7</v>
      </c>
      <c r="BP24">
        <v>0.78900000000000003</v>
      </c>
      <c r="BQ24">
        <v>0.88700000000000001</v>
      </c>
      <c r="BR24">
        <v>0.14599999999999999</v>
      </c>
      <c r="CH24">
        <v>1995</v>
      </c>
      <c r="CI24">
        <v>-0.63900000000000001</v>
      </c>
      <c r="CJ24">
        <v>0.16400000000000001</v>
      </c>
      <c r="CK24">
        <v>-0.80400000000000005</v>
      </c>
      <c r="CL24">
        <v>0.70299999999999996</v>
      </c>
      <c r="CM24" s="12">
        <v>3.0199999999999999E-8</v>
      </c>
      <c r="CN24">
        <v>3.0249999999999999</v>
      </c>
      <c r="CO24">
        <v>6.7569999999999997</v>
      </c>
      <c r="CP24">
        <v>0.66100000000000003</v>
      </c>
      <c r="CT24">
        <v>2003</v>
      </c>
      <c r="CU24">
        <v>0.161</v>
      </c>
      <c r="CV24">
        <v>-0.26</v>
      </c>
      <c r="CW24">
        <v>0.42</v>
      </c>
      <c r="CX24">
        <v>0.70299999999999996</v>
      </c>
      <c r="CY24" s="12">
        <v>1.9300000000000001E-8</v>
      </c>
      <c r="CZ24">
        <v>2.1800000000000002</v>
      </c>
      <c r="DA24">
        <v>1.4319999999999999</v>
      </c>
      <c r="DB24">
        <v>5.6000000000000001E-2</v>
      </c>
      <c r="DR24">
        <v>1983</v>
      </c>
      <c r="DS24">
        <v>0.23400000000000001</v>
      </c>
      <c r="DT24">
        <v>4.8000000000000001E-2</v>
      </c>
      <c r="DU24">
        <v>0.186</v>
      </c>
      <c r="DV24">
        <v>0.70299999999999996</v>
      </c>
      <c r="DW24" s="12">
        <v>5.6500000000000001E-9</v>
      </c>
      <c r="DX24">
        <v>0.99399999999999999</v>
      </c>
      <c r="DY24">
        <v>0.82499999999999996</v>
      </c>
      <c r="DZ24">
        <v>6.0000000000000001E-3</v>
      </c>
      <c r="ED24">
        <v>1993</v>
      </c>
      <c r="EE24">
        <v>-1.028</v>
      </c>
      <c r="EF24">
        <v>0.106</v>
      </c>
      <c r="EG24">
        <v>-1.1339999999999999</v>
      </c>
      <c r="EH24">
        <v>0.70299999999999996</v>
      </c>
      <c r="EI24" s="12">
        <v>6.44E-7</v>
      </c>
      <c r="EJ24">
        <v>1.252</v>
      </c>
      <c r="EK24">
        <v>3.8929999999999998</v>
      </c>
      <c r="EL24">
        <v>0.876</v>
      </c>
      <c r="FB24">
        <v>1982</v>
      </c>
      <c r="FC24">
        <v>-0.39400000000000002</v>
      </c>
      <c r="FD24">
        <v>-9.9000000000000005E-2</v>
      </c>
      <c r="FE24">
        <v>-0.29599999999999999</v>
      </c>
      <c r="FF24">
        <v>0.70299999999999996</v>
      </c>
      <c r="FG24" s="12">
        <v>2.3900000000000001E-7</v>
      </c>
      <c r="FH24">
        <v>0.53400000000000003</v>
      </c>
      <c r="FI24">
        <v>0.71699999999999997</v>
      </c>
      <c r="FJ24">
        <v>0.27400000000000002</v>
      </c>
      <c r="FN24">
        <v>1992</v>
      </c>
      <c r="FO24">
        <v>0.112</v>
      </c>
      <c r="FP24">
        <v>6.8000000000000005E-2</v>
      </c>
      <c r="FQ24">
        <v>4.2999999999999997E-2</v>
      </c>
      <c r="FR24">
        <v>0.70299999999999996</v>
      </c>
      <c r="FS24" s="12">
        <v>5.7299999999999999E-9</v>
      </c>
      <c r="FT24">
        <v>0.61</v>
      </c>
      <c r="FU24">
        <v>0.58399999999999996</v>
      </c>
      <c r="FV24">
        <v>5.2999999999999999E-2</v>
      </c>
      <c r="FZ24">
        <v>1992</v>
      </c>
      <c r="GA24">
        <v>1.4790000000000001</v>
      </c>
      <c r="GB24">
        <v>0.12</v>
      </c>
      <c r="GC24">
        <v>1.359</v>
      </c>
      <c r="GD24">
        <v>0.70299999999999996</v>
      </c>
      <c r="GE24" s="12">
        <v>3.4699999999999999E-10</v>
      </c>
      <c r="GF24">
        <v>0.31</v>
      </c>
      <c r="GG24">
        <v>0.08</v>
      </c>
      <c r="GH24">
        <v>6.4950000000000001</v>
      </c>
    </row>
    <row r="25" spans="1:190">
      <c r="A25">
        <f t="shared" si="0"/>
        <v>1992</v>
      </c>
      <c r="B25">
        <v>0</v>
      </c>
      <c r="D25">
        <v>1994</v>
      </c>
      <c r="E25">
        <v>-0.27800000000000002</v>
      </c>
      <c r="F25">
        <v>0.17299999999999999</v>
      </c>
      <c r="G25">
        <v>-0.45200000000000001</v>
      </c>
      <c r="H25">
        <v>0.70299999999999996</v>
      </c>
      <c r="I25" s="12">
        <v>2.0299999999999998E-9</v>
      </c>
      <c r="J25">
        <v>0.21</v>
      </c>
      <c r="K25">
        <v>0.32900000000000001</v>
      </c>
      <c r="L25">
        <v>0.39500000000000002</v>
      </c>
      <c r="O25">
        <v>1999</v>
      </c>
      <c r="P25">
        <v>0.104</v>
      </c>
      <c r="Q25">
        <v>5.5E-2</v>
      </c>
      <c r="R25">
        <v>4.9000000000000002E-2</v>
      </c>
      <c r="S25">
        <v>0.70299999999999996</v>
      </c>
      <c r="T25" s="12">
        <v>1.96E-8</v>
      </c>
      <c r="U25">
        <v>0.16400000000000001</v>
      </c>
      <c r="V25">
        <v>0.156</v>
      </c>
      <c r="W25">
        <v>0.05</v>
      </c>
      <c r="Z25">
        <v>1983</v>
      </c>
      <c r="AA25">
        <v>0.308</v>
      </c>
      <c r="AB25">
        <v>-0.33400000000000002</v>
      </c>
      <c r="AC25">
        <v>0.64200000000000002</v>
      </c>
      <c r="AD25">
        <v>0.70299999999999996</v>
      </c>
      <c r="AE25" s="12">
        <v>2.5800000000000001E-7</v>
      </c>
      <c r="AF25">
        <v>1.0960000000000001</v>
      </c>
      <c r="AG25">
        <v>0.57699999999999996</v>
      </c>
      <c r="AH25">
        <v>0.36599999999999999</v>
      </c>
      <c r="AL25">
        <v>2006</v>
      </c>
      <c r="AM25">
        <v>-0.24</v>
      </c>
      <c r="AN25">
        <v>-0.21199999999999999</v>
      </c>
      <c r="AO25">
        <v>-2.8000000000000001E-2</v>
      </c>
      <c r="AP25">
        <v>0.70299999999999996</v>
      </c>
      <c r="AQ25" s="12">
        <v>2.6199999999999999E-7</v>
      </c>
      <c r="AR25">
        <v>0.73699999999999999</v>
      </c>
      <c r="AS25">
        <v>0.75800000000000001</v>
      </c>
      <c r="AT25">
        <v>0.09</v>
      </c>
      <c r="AX25">
        <v>1999</v>
      </c>
      <c r="AY25">
        <v>0.627</v>
      </c>
      <c r="AZ25">
        <v>4.8000000000000001E-2</v>
      </c>
      <c r="BA25">
        <v>0.57999999999999996</v>
      </c>
      <c r="BB25">
        <v>0.70299999999999996</v>
      </c>
      <c r="BC25" s="12">
        <v>1.2800000000000001E-7</v>
      </c>
      <c r="BD25">
        <v>1.649</v>
      </c>
      <c r="BE25">
        <v>0.92400000000000004</v>
      </c>
      <c r="BF25">
        <v>0.24299999999999999</v>
      </c>
      <c r="BJ25">
        <v>2000</v>
      </c>
      <c r="BK25">
        <v>-9.0999999999999998E-2</v>
      </c>
      <c r="BL25">
        <v>8.0000000000000002E-3</v>
      </c>
      <c r="BM25">
        <v>-9.9000000000000005E-2</v>
      </c>
      <c r="BN25">
        <v>0.70299999999999996</v>
      </c>
      <c r="BO25" s="12">
        <v>2.6E-7</v>
      </c>
      <c r="BP25">
        <v>0.86099999999999999</v>
      </c>
      <c r="BQ25">
        <v>0.95099999999999996</v>
      </c>
      <c r="BR25">
        <v>0.13400000000000001</v>
      </c>
      <c r="CH25">
        <v>1996</v>
      </c>
      <c r="CI25">
        <v>0.16700000000000001</v>
      </c>
      <c r="CJ25">
        <v>0.13300000000000001</v>
      </c>
      <c r="CK25">
        <v>3.4000000000000002E-2</v>
      </c>
      <c r="CL25">
        <v>0.70299999999999996</v>
      </c>
      <c r="CM25" s="12">
        <v>3.0199999999999999E-8</v>
      </c>
      <c r="CN25">
        <v>6.7770000000000001</v>
      </c>
      <c r="CO25">
        <v>6.5490000000000004</v>
      </c>
      <c r="CP25">
        <v>5.8000000000000003E-2</v>
      </c>
      <c r="CT25">
        <v>2004</v>
      </c>
      <c r="CU25">
        <v>0.19700000000000001</v>
      </c>
      <c r="CV25">
        <v>-0.192</v>
      </c>
      <c r="CW25">
        <v>0.38900000000000001</v>
      </c>
      <c r="CX25">
        <v>0.70299999999999996</v>
      </c>
      <c r="CY25" s="12">
        <v>1.9300000000000001E-8</v>
      </c>
      <c r="CZ25">
        <v>2.2599999999999998</v>
      </c>
      <c r="DA25">
        <v>1.532</v>
      </c>
      <c r="DB25">
        <v>3.5999999999999997E-2</v>
      </c>
      <c r="DR25">
        <v>1984</v>
      </c>
      <c r="DS25">
        <v>0.59</v>
      </c>
      <c r="DT25">
        <v>0.13500000000000001</v>
      </c>
      <c r="DU25">
        <v>0.45600000000000002</v>
      </c>
      <c r="DV25">
        <v>0.70299999999999996</v>
      </c>
      <c r="DW25" s="12">
        <v>5.6500000000000001E-9</v>
      </c>
      <c r="DX25">
        <v>1.42</v>
      </c>
      <c r="DY25">
        <v>0.9</v>
      </c>
      <c r="DZ25">
        <v>8.4000000000000005E-2</v>
      </c>
      <c r="ED25">
        <v>1994</v>
      </c>
      <c r="EE25">
        <v>0.32500000000000001</v>
      </c>
      <c r="EF25">
        <v>0.106</v>
      </c>
      <c r="EG25">
        <v>0.219</v>
      </c>
      <c r="EH25">
        <v>0.70299999999999996</v>
      </c>
      <c r="EI25" s="12">
        <v>6.44E-7</v>
      </c>
      <c r="EJ25">
        <v>4.8449999999999998</v>
      </c>
      <c r="EK25">
        <v>3.8919999999999999</v>
      </c>
      <c r="EL25">
        <v>1E-3</v>
      </c>
      <c r="FB25">
        <v>1983</v>
      </c>
      <c r="FC25">
        <v>-0.40300000000000002</v>
      </c>
      <c r="FD25">
        <v>-0.314</v>
      </c>
      <c r="FE25">
        <v>-8.8999999999999996E-2</v>
      </c>
      <c r="FF25">
        <v>0.70299999999999996</v>
      </c>
      <c r="FG25" s="12">
        <v>2.3900000000000001E-7</v>
      </c>
      <c r="FH25">
        <v>0.52900000000000003</v>
      </c>
      <c r="FI25">
        <v>0.57799999999999996</v>
      </c>
      <c r="FJ25">
        <v>0.128</v>
      </c>
      <c r="FN25">
        <v>1993</v>
      </c>
      <c r="FO25">
        <v>-8.6999999999999994E-2</v>
      </c>
      <c r="FP25">
        <v>6.6000000000000003E-2</v>
      </c>
      <c r="FQ25">
        <v>-0.153</v>
      </c>
      <c r="FR25">
        <v>0.70299999999999996</v>
      </c>
      <c r="FS25" s="12">
        <v>5.7299999999999999E-9</v>
      </c>
      <c r="FT25">
        <v>0.5</v>
      </c>
      <c r="FU25">
        <v>0.58299999999999996</v>
      </c>
      <c r="FV25">
        <v>0.17</v>
      </c>
      <c r="FZ25">
        <v>1993</v>
      </c>
      <c r="GA25">
        <v>0.69499999999999995</v>
      </c>
      <c r="GB25">
        <v>-1.2999999999999999E-2</v>
      </c>
      <c r="GC25">
        <v>0.70799999999999996</v>
      </c>
      <c r="GD25">
        <v>0.70299999999999996</v>
      </c>
      <c r="GE25" s="12">
        <v>3.4699999999999999E-10</v>
      </c>
      <c r="GF25">
        <v>0.14199999999999999</v>
      </c>
      <c r="GG25">
        <v>7.0000000000000007E-2</v>
      </c>
      <c r="GH25">
        <v>0.53400000000000003</v>
      </c>
    </row>
    <row r="26" spans="1:190">
      <c r="A26">
        <f t="shared" si="0"/>
        <v>1993</v>
      </c>
      <c r="B26">
        <v>0</v>
      </c>
      <c r="D26">
        <v>1995</v>
      </c>
      <c r="E26">
        <v>-0.98299999999999998</v>
      </c>
      <c r="F26">
        <v>0.23599999999999999</v>
      </c>
      <c r="G26">
        <v>-1.218</v>
      </c>
      <c r="H26">
        <v>0.70299999999999996</v>
      </c>
      <c r="I26" s="12">
        <v>2.0299999999999998E-9</v>
      </c>
      <c r="J26">
        <v>0.104</v>
      </c>
      <c r="K26">
        <v>0.35</v>
      </c>
      <c r="L26">
        <v>0.92400000000000004</v>
      </c>
      <c r="O26">
        <v>2000</v>
      </c>
      <c r="P26">
        <v>8.0000000000000002E-3</v>
      </c>
      <c r="Q26">
        <v>1.7999999999999999E-2</v>
      </c>
      <c r="R26">
        <v>-1.0999999999999999E-2</v>
      </c>
      <c r="S26">
        <v>0.70299999999999996</v>
      </c>
      <c r="T26" s="12">
        <v>1.96E-8</v>
      </c>
      <c r="U26">
        <v>0.14899999999999999</v>
      </c>
      <c r="V26">
        <v>0.151</v>
      </c>
      <c r="W26">
        <v>8.1000000000000003E-2</v>
      </c>
      <c r="Z26">
        <v>1984</v>
      </c>
      <c r="AA26">
        <v>0.36099999999999999</v>
      </c>
      <c r="AB26">
        <v>-9.1999999999999998E-2</v>
      </c>
      <c r="AC26">
        <v>0.45300000000000001</v>
      </c>
      <c r="AD26">
        <v>0.70299999999999996</v>
      </c>
      <c r="AE26" s="12">
        <v>2.5800000000000001E-7</v>
      </c>
      <c r="AF26">
        <v>1.1559999999999999</v>
      </c>
      <c r="AG26">
        <v>0.73499999999999999</v>
      </c>
      <c r="AH26">
        <v>8.1000000000000003E-2</v>
      </c>
      <c r="AX26">
        <v>2000</v>
      </c>
      <c r="AY26">
        <v>0.48899999999999999</v>
      </c>
      <c r="AZ26">
        <v>0.11899999999999999</v>
      </c>
      <c r="BA26">
        <v>0.37</v>
      </c>
      <c r="BB26">
        <v>0.70299999999999996</v>
      </c>
      <c r="BC26" s="12">
        <v>1.2800000000000001E-7</v>
      </c>
      <c r="BD26">
        <v>1.4359999999999999</v>
      </c>
      <c r="BE26">
        <v>0.99199999999999999</v>
      </c>
      <c r="BF26">
        <v>2.5999999999999999E-2</v>
      </c>
      <c r="BJ26">
        <v>2001</v>
      </c>
      <c r="BK26">
        <v>-0.218</v>
      </c>
      <c r="BL26">
        <v>5.7000000000000002E-2</v>
      </c>
      <c r="BM26">
        <v>-0.27500000000000002</v>
      </c>
      <c r="BN26">
        <v>0.70299999999999996</v>
      </c>
      <c r="BO26" s="12">
        <v>2.6E-7</v>
      </c>
      <c r="BP26">
        <v>0.75800000000000001</v>
      </c>
      <c r="BQ26">
        <v>0.999</v>
      </c>
      <c r="BR26">
        <v>0.25900000000000001</v>
      </c>
      <c r="CH26">
        <v>1997</v>
      </c>
      <c r="CI26">
        <v>-0.22700000000000001</v>
      </c>
      <c r="CJ26">
        <v>2.1999999999999999E-2</v>
      </c>
      <c r="CK26">
        <v>-0.249</v>
      </c>
      <c r="CL26">
        <v>0.70299999999999996</v>
      </c>
      <c r="CM26" s="12">
        <v>3.0199999999999999E-8</v>
      </c>
      <c r="CN26">
        <v>4.569</v>
      </c>
      <c r="CO26">
        <v>5.8609999999999998</v>
      </c>
      <c r="CP26">
        <v>0.23899999999999999</v>
      </c>
      <c r="CT26">
        <v>2005</v>
      </c>
      <c r="CU26">
        <v>0.21</v>
      </c>
      <c r="CV26">
        <v>-0.13400000000000001</v>
      </c>
      <c r="CW26">
        <v>0.34399999999999997</v>
      </c>
      <c r="CX26">
        <v>0.70299999999999996</v>
      </c>
      <c r="CY26" s="12">
        <v>1.9300000000000001E-8</v>
      </c>
      <c r="CZ26">
        <v>2.29</v>
      </c>
      <c r="DA26">
        <v>1.6240000000000001</v>
      </c>
      <c r="DB26">
        <v>1.6E-2</v>
      </c>
      <c r="DR26">
        <v>1985</v>
      </c>
      <c r="DS26">
        <v>0.32700000000000001</v>
      </c>
      <c r="DT26">
        <v>0.156</v>
      </c>
      <c r="DU26">
        <v>0.17100000000000001</v>
      </c>
      <c r="DV26">
        <v>0.70299999999999996</v>
      </c>
      <c r="DW26" s="12">
        <v>5.6500000000000001E-9</v>
      </c>
      <c r="DX26">
        <v>1.091</v>
      </c>
      <c r="DY26">
        <v>0.91900000000000004</v>
      </c>
      <c r="DZ26">
        <v>8.0000000000000002E-3</v>
      </c>
      <c r="ED26">
        <v>1995</v>
      </c>
      <c r="EE26">
        <v>5.8000000000000003E-2</v>
      </c>
      <c r="EF26">
        <v>0.13500000000000001</v>
      </c>
      <c r="EG26">
        <v>-7.6999999999999999E-2</v>
      </c>
      <c r="EH26">
        <v>0.70299999999999996</v>
      </c>
      <c r="EI26" s="12">
        <v>6.44E-7</v>
      </c>
      <c r="EJ26">
        <v>3.7109999999999999</v>
      </c>
      <c r="EK26">
        <v>4.0069999999999997</v>
      </c>
      <c r="EL26">
        <v>0.12</v>
      </c>
      <c r="FB26">
        <v>1984</v>
      </c>
      <c r="FC26">
        <v>-3.3000000000000002E-2</v>
      </c>
      <c r="FD26">
        <v>-8.1000000000000003E-2</v>
      </c>
      <c r="FE26">
        <v>4.8000000000000001E-2</v>
      </c>
      <c r="FF26">
        <v>0.70299999999999996</v>
      </c>
      <c r="FG26" s="12">
        <v>2.3900000000000001E-7</v>
      </c>
      <c r="FH26">
        <v>0.76600000000000001</v>
      </c>
      <c r="FI26">
        <v>0.73</v>
      </c>
      <c r="FJ26">
        <v>5.0999999999999997E-2</v>
      </c>
      <c r="FN26">
        <v>1994</v>
      </c>
      <c r="FO26">
        <v>0.14399999999999999</v>
      </c>
      <c r="FP26">
        <v>7.0000000000000001E-3</v>
      </c>
      <c r="FQ26">
        <v>0.13700000000000001</v>
      </c>
      <c r="FR26">
        <v>0.70299999999999996</v>
      </c>
      <c r="FS26" s="12">
        <v>5.7299999999999999E-9</v>
      </c>
      <c r="FT26">
        <v>0.63</v>
      </c>
      <c r="FU26">
        <v>0.55000000000000004</v>
      </c>
      <c r="FV26">
        <v>1.7000000000000001E-2</v>
      </c>
      <c r="FZ26">
        <v>1994</v>
      </c>
      <c r="GA26">
        <v>0.17599999999999999</v>
      </c>
      <c r="GB26">
        <v>0.129</v>
      </c>
      <c r="GC26">
        <v>4.7E-2</v>
      </c>
      <c r="GD26">
        <v>0.70299999999999996</v>
      </c>
      <c r="GE26" s="12">
        <v>3.4699999999999999E-10</v>
      </c>
      <c r="GF26">
        <v>8.4000000000000005E-2</v>
      </c>
      <c r="GG26">
        <v>0.08</v>
      </c>
      <c r="GH26">
        <v>5.1999999999999998E-2</v>
      </c>
    </row>
    <row r="27" spans="1:190">
      <c r="A27">
        <f t="shared" si="0"/>
        <v>1994</v>
      </c>
      <c r="B27">
        <v>0</v>
      </c>
      <c r="D27">
        <v>1996</v>
      </c>
      <c r="E27">
        <v>4.3999999999999997E-2</v>
      </c>
      <c r="F27">
        <v>9.8000000000000004E-2</v>
      </c>
      <c r="G27">
        <v>-5.3999999999999999E-2</v>
      </c>
      <c r="H27">
        <v>0.70299999999999996</v>
      </c>
      <c r="I27" s="12">
        <v>2.0299999999999998E-9</v>
      </c>
      <c r="J27">
        <v>0.28899999999999998</v>
      </c>
      <c r="K27">
        <v>0.30499999999999999</v>
      </c>
      <c r="L27">
        <v>0.106</v>
      </c>
      <c r="O27">
        <v>2001</v>
      </c>
      <c r="P27">
        <v>-8.5999999999999993E-2</v>
      </c>
      <c r="Q27">
        <v>-3.5999999999999997E-2</v>
      </c>
      <c r="R27">
        <v>-0.05</v>
      </c>
      <c r="S27">
        <v>0.70299999999999996</v>
      </c>
      <c r="T27" s="12">
        <v>1.96E-8</v>
      </c>
      <c r="U27">
        <v>0.13600000000000001</v>
      </c>
      <c r="V27">
        <v>0.14299999999999999</v>
      </c>
      <c r="W27">
        <v>0.104</v>
      </c>
      <c r="Z27">
        <v>1985</v>
      </c>
      <c r="AA27">
        <v>-0.115</v>
      </c>
      <c r="AB27">
        <v>-4.3999999999999997E-2</v>
      </c>
      <c r="AC27">
        <v>-7.0999999999999994E-2</v>
      </c>
      <c r="AD27">
        <v>0.70299999999999996</v>
      </c>
      <c r="AE27" s="12">
        <v>2.5800000000000001E-7</v>
      </c>
      <c r="AF27">
        <v>0.71799999999999997</v>
      </c>
      <c r="AG27">
        <v>0.77100000000000002</v>
      </c>
      <c r="AH27">
        <v>0.11600000000000001</v>
      </c>
      <c r="AX27">
        <v>2001</v>
      </c>
      <c r="AY27">
        <v>0.55600000000000005</v>
      </c>
      <c r="AZ27">
        <v>-5.6000000000000001E-2</v>
      </c>
      <c r="BA27">
        <v>0.61199999999999999</v>
      </c>
      <c r="BB27">
        <v>0.70299999999999996</v>
      </c>
      <c r="BC27" s="12">
        <v>1.2800000000000001E-7</v>
      </c>
      <c r="BD27">
        <v>1.536</v>
      </c>
      <c r="BE27">
        <v>0.83299999999999996</v>
      </c>
      <c r="BF27">
        <v>0.30299999999999999</v>
      </c>
      <c r="BJ27">
        <v>2002</v>
      </c>
      <c r="BK27">
        <v>-0.29299999999999998</v>
      </c>
      <c r="BL27">
        <v>-0.13700000000000001</v>
      </c>
      <c r="BM27">
        <v>-0.156</v>
      </c>
      <c r="BN27">
        <v>0.70299999999999996</v>
      </c>
      <c r="BO27" s="12">
        <v>2.6E-7</v>
      </c>
      <c r="BP27">
        <v>0.70299999999999996</v>
      </c>
      <c r="BQ27">
        <v>0.82199999999999995</v>
      </c>
      <c r="BR27">
        <v>0.17199999999999999</v>
      </c>
      <c r="CH27">
        <v>1998</v>
      </c>
      <c r="CI27">
        <v>-0.437</v>
      </c>
      <c r="CJ27">
        <v>-0.09</v>
      </c>
      <c r="CK27">
        <v>-0.34699999999999998</v>
      </c>
      <c r="CL27">
        <v>0.70299999999999996</v>
      </c>
      <c r="CM27" s="12">
        <v>3.0199999999999999E-8</v>
      </c>
      <c r="CN27">
        <v>3.7040000000000002</v>
      </c>
      <c r="CO27">
        <v>5.2409999999999997</v>
      </c>
      <c r="CP27">
        <v>0.314</v>
      </c>
      <c r="CT27">
        <v>2006</v>
      </c>
      <c r="CU27">
        <v>-0.124</v>
      </c>
      <c r="CV27">
        <v>-1.4E-2</v>
      </c>
      <c r="CW27">
        <v>-0.109</v>
      </c>
      <c r="CX27">
        <v>0.70299999999999996</v>
      </c>
      <c r="CY27" s="12">
        <v>1.9300000000000001E-8</v>
      </c>
      <c r="CZ27">
        <v>1.64</v>
      </c>
      <c r="DA27">
        <v>1.83</v>
      </c>
      <c r="DB27">
        <v>0.14099999999999999</v>
      </c>
      <c r="DR27">
        <v>1986</v>
      </c>
      <c r="DS27">
        <v>0.73899999999999999</v>
      </c>
      <c r="DT27">
        <v>0.17799999999999999</v>
      </c>
      <c r="DU27">
        <v>0.56100000000000005</v>
      </c>
      <c r="DV27">
        <v>0.70299999999999996</v>
      </c>
      <c r="DW27" s="12">
        <v>5.6500000000000001E-9</v>
      </c>
      <c r="DX27">
        <v>1.647</v>
      </c>
      <c r="DY27">
        <v>0.94</v>
      </c>
      <c r="DZ27">
        <v>0.21199999999999999</v>
      </c>
      <c r="ED27">
        <v>1996</v>
      </c>
      <c r="EE27">
        <v>0.71499999999999997</v>
      </c>
      <c r="EF27">
        <v>9.8000000000000004E-2</v>
      </c>
      <c r="EG27">
        <v>0.61699999999999999</v>
      </c>
      <c r="EH27">
        <v>0.70299999999999996</v>
      </c>
      <c r="EI27" s="12">
        <v>6.44E-7</v>
      </c>
      <c r="EJ27">
        <v>7.1589999999999998</v>
      </c>
      <c r="EK27">
        <v>3.8610000000000002</v>
      </c>
      <c r="EL27">
        <v>0.313</v>
      </c>
      <c r="FB27">
        <v>1985</v>
      </c>
      <c r="FC27">
        <v>-0.13300000000000001</v>
      </c>
      <c r="FD27">
        <v>-3.7999999999999999E-2</v>
      </c>
      <c r="FE27">
        <v>-9.5000000000000001E-2</v>
      </c>
      <c r="FF27">
        <v>0.70299999999999996</v>
      </c>
      <c r="FG27" s="12">
        <v>2.3900000000000001E-7</v>
      </c>
      <c r="FH27">
        <v>0.69299999999999995</v>
      </c>
      <c r="FI27">
        <v>0.76200000000000001</v>
      </c>
      <c r="FJ27">
        <v>0.13100000000000001</v>
      </c>
      <c r="FN27">
        <v>1995</v>
      </c>
      <c r="FO27">
        <v>9.5000000000000001E-2</v>
      </c>
      <c r="FP27">
        <v>2.3E-2</v>
      </c>
      <c r="FQ27">
        <v>7.1999999999999995E-2</v>
      </c>
      <c r="FR27">
        <v>0.70299999999999996</v>
      </c>
      <c r="FS27" s="12">
        <v>5.7299999999999999E-9</v>
      </c>
      <c r="FT27">
        <v>0.6</v>
      </c>
      <c r="FU27">
        <v>0.55800000000000005</v>
      </c>
      <c r="FV27">
        <v>0.04</v>
      </c>
      <c r="FZ27">
        <v>1995</v>
      </c>
      <c r="GA27">
        <v>-0.67900000000000005</v>
      </c>
      <c r="GB27">
        <v>0.16900000000000001</v>
      </c>
      <c r="GC27">
        <v>-0.84799999999999998</v>
      </c>
      <c r="GD27">
        <v>0.70299999999999996</v>
      </c>
      <c r="GE27" s="12">
        <v>3.4699999999999999E-10</v>
      </c>
      <c r="GF27">
        <v>3.5999999999999997E-2</v>
      </c>
      <c r="GG27">
        <v>8.4000000000000005E-2</v>
      </c>
      <c r="GH27">
        <v>0.69199999999999995</v>
      </c>
    </row>
    <row r="28" spans="1:190">
      <c r="A28">
        <f t="shared" si="0"/>
        <v>1995</v>
      </c>
      <c r="B28">
        <v>0</v>
      </c>
      <c r="D28">
        <v>1997</v>
      </c>
      <c r="E28">
        <v>0.42099999999999999</v>
      </c>
      <c r="F28">
        <v>-3.0000000000000001E-3</v>
      </c>
      <c r="G28">
        <v>0.42399999999999999</v>
      </c>
      <c r="H28">
        <v>0.70299999999999996</v>
      </c>
      <c r="I28" s="12">
        <v>2.0299999999999998E-9</v>
      </c>
      <c r="J28">
        <v>0.42199999999999999</v>
      </c>
      <c r="K28">
        <v>0.27600000000000002</v>
      </c>
      <c r="L28">
        <v>5.8000000000000003E-2</v>
      </c>
      <c r="O28">
        <v>2002</v>
      </c>
      <c r="P28">
        <v>-0.57299999999999995</v>
      </c>
      <c r="Q28">
        <v>-0.16300000000000001</v>
      </c>
      <c r="R28">
        <v>-0.41</v>
      </c>
      <c r="S28">
        <v>0.70299999999999996</v>
      </c>
      <c r="T28" s="12">
        <v>1.96E-8</v>
      </c>
      <c r="U28">
        <v>8.3000000000000004E-2</v>
      </c>
      <c r="V28">
        <v>0.126</v>
      </c>
      <c r="W28">
        <v>0.36299999999999999</v>
      </c>
      <c r="Z28">
        <v>1986</v>
      </c>
      <c r="AA28">
        <v>0.16700000000000001</v>
      </c>
      <c r="AB28">
        <v>-7.0000000000000001E-3</v>
      </c>
      <c r="AC28">
        <v>0.17299999999999999</v>
      </c>
      <c r="AD28">
        <v>0.70299999999999996</v>
      </c>
      <c r="AE28" s="12">
        <v>2.5800000000000001E-7</v>
      </c>
      <c r="AF28">
        <v>0.95199999999999996</v>
      </c>
      <c r="AG28">
        <v>0.8</v>
      </c>
      <c r="AH28">
        <v>8.0000000000000002E-3</v>
      </c>
      <c r="AX28">
        <v>2002</v>
      </c>
      <c r="AY28">
        <v>0.16800000000000001</v>
      </c>
      <c r="AZ28">
        <v>-0.30399999999999999</v>
      </c>
      <c r="BA28">
        <v>0.47199999999999998</v>
      </c>
      <c r="BB28">
        <v>0.70299999999999996</v>
      </c>
      <c r="BC28" s="12">
        <v>1.2800000000000001E-7</v>
      </c>
      <c r="BD28">
        <v>1.042</v>
      </c>
      <c r="BE28">
        <v>0.65</v>
      </c>
      <c r="BF28">
        <v>9.9000000000000005E-2</v>
      </c>
      <c r="BJ28">
        <v>2003</v>
      </c>
      <c r="BK28">
        <v>-0.42299999999999999</v>
      </c>
      <c r="BL28">
        <v>-0.315</v>
      </c>
      <c r="BM28">
        <v>-0.108</v>
      </c>
      <c r="BN28">
        <v>0.70299999999999996</v>
      </c>
      <c r="BO28" s="12">
        <v>2.6E-7</v>
      </c>
      <c r="BP28">
        <v>0.61799999999999999</v>
      </c>
      <c r="BQ28">
        <v>0.68899999999999995</v>
      </c>
      <c r="BR28">
        <v>0.14000000000000001</v>
      </c>
      <c r="CH28">
        <v>1999</v>
      </c>
      <c r="CI28">
        <v>-5.3999999999999999E-2</v>
      </c>
      <c r="CJ28">
        <v>-0.13</v>
      </c>
      <c r="CK28">
        <v>7.5999999999999998E-2</v>
      </c>
      <c r="CL28">
        <v>0.70299999999999996</v>
      </c>
      <c r="CM28" s="12">
        <v>3.0199999999999999E-8</v>
      </c>
      <c r="CN28">
        <v>5.4340000000000002</v>
      </c>
      <c r="CO28">
        <v>5.0339999999999998</v>
      </c>
      <c r="CP28">
        <v>3.9E-2</v>
      </c>
      <c r="DR28">
        <v>1987</v>
      </c>
      <c r="DS28">
        <v>0.85899999999999999</v>
      </c>
      <c r="DT28">
        <v>0.32600000000000001</v>
      </c>
      <c r="DU28">
        <v>0.53300000000000003</v>
      </c>
      <c r="DV28">
        <v>0.70299999999999996</v>
      </c>
      <c r="DW28" s="12">
        <v>5.6500000000000001E-9</v>
      </c>
      <c r="DX28">
        <v>1.8580000000000001</v>
      </c>
      <c r="DY28">
        <v>1.0900000000000001</v>
      </c>
      <c r="DZ28">
        <v>0.17100000000000001</v>
      </c>
      <c r="ED28">
        <v>1997</v>
      </c>
      <c r="EE28">
        <v>-0.379</v>
      </c>
      <c r="EF28">
        <v>1.4E-2</v>
      </c>
      <c r="EG28">
        <v>-0.39300000000000002</v>
      </c>
      <c r="EH28">
        <v>0.70299999999999996</v>
      </c>
      <c r="EI28" s="12">
        <v>6.44E-7</v>
      </c>
      <c r="EJ28">
        <v>2.3959999999999999</v>
      </c>
      <c r="EK28">
        <v>3.5489999999999999</v>
      </c>
      <c r="EL28">
        <v>0.34899999999999998</v>
      </c>
      <c r="FB28">
        <v>1986</v>
      </c>
      <c r="FC28">
        <v>8.3000000000000004E-2</v>
      </c>
      <c r="FD28">
        <v>4.0000000000000001E-3</v>
      </c>
      <c r="FE28">
        <v>7.9000000000000001E-2</v>
      </c>
      <c r="FF28">
        <v>0.70299999999999996</v>
      </c>
      <c r="FG28" s="12">
        <v>2.3900000000000001E-7</v>
      </c>
      <c r="FH28">
        <v>0.86</v>
      </c>
      <c r="FI28">
        <v>0.79500000000000004</v>
      </c>
      <c r="FJ28">
        <v>3.7999999999999999E-2</v>
      </c>
      <c r="FN28">
        <v>1996</v>
      </c>
      <c r="FO28">
        <v>2.5999999999999999E-2</v>
      </c>
      <c r="FP28">
        <v>0.14899999999999999</v>
      </c>
      <c r="FQ28">
        <v>-0.123</v>
      </c>
      <c r="FR28">
        <v>0.70299999999999996</v>
      </c>
      <c r="FS28" s="12">
        <v>5.7299999999999999E-9</v>
      </c>
      <c r="FT28">
        <v>0.56000000000000005</v>
      </c>
      <c r="FU28">
        <v>0.63300000000000001</v>
      </c>
      <c r="FV28">
        <v>0.15</v>
      </c>
      <c r="FZ28">
        <v>1996</v>
      </c>
      <c r="GA28">
        <v>2.0329999999999999</v>
      </c>
      <c r="GB28">
        <v>9.8000000000000004E-2</v>
      </c>
      <c r="GC28">
        <v>1.9339999999999999</v>
      </c>
      <c r="GD28">
        <v>0.70299999999999996</v>
      </c>
      <c r="GE28" s="12">
        <v>3.4699999999999999E-10</v>
      </c>
      <c r="GF28">
        <v>0.53900000000000003</v>
      </c>
      <c r="GG28">
        <v>7.8E-2</v>
      </c>
      <c r="GH28">
        <v>30.291</v>
      </c>
    </row>
    <row r="29" spans="1:190">
      <c r="A29">
        <f t="shared" si="0"/>
        <v>1996</v>
      </c>
      <c r="B29">
        <v>0</v>
      </c>
      <c r="D29">
        <v>1998</v>
      </c>
      <c r="E29">
        <v>0.154</v>
      </c>
      <c r="F29">
        <v>-0.11600000000000001</v>
      </c>
      <c r="G29">
        <v>0.27</v>
      </c>
      <c r="H29">
        <v>0.70299999999999996</v>
      </c>
      <c r="I29" s="12">
        <v>2.0299999999999998E-9</v>
      </c>
      <c r="J29">
        <v>0.32300000000000001</v>
      </c>
      <c r="K29">
        <v>0.247</v>
      </c>
      <c r="L29">
        <v>1E-3</v>
      </c>
      <c r="O29">
        <v>2003</v>
      </c>
      <c r="P29">
        <v>-4.2999999999999997E-2</v>
      </c>
      <c r="Q29">
        <v>-0.29799999999999999</v>
      </c>
      <c r="R29">
        <v>0.254</v>
      </c>
      <c r="S29">
        <v>0.70299999999999996</v>
      </c>
      <c r="T29" s="12">
        <v>1.96E-8</v>
      </c>
      <c r="U29">
        <v>0.14199999999999999</v>
      </c>
      <c r="V29">
        <v>0.11</v>
      </c>
      <c r="W29">
        <v>0</v>
      </c>
      <c r="Z29">
        <v>1987</v>
      </c>
      <c r="AA29">
        <v>0.20699999999999999</v>
      </c>
      <c r="AB29">
        <v>0.13900000000000001</v>
      </c>
      <c r="AC29">
        <v>6.8000000000000005E-2</v>
      </c>
      <c r="AD29">
        <v>0.70299999999999996</v>
      </c>
      <c r="AE29" s="12">
        <v>2.5800000000000001E-7</v>
      </c>
      <c r="AF29">
        <v>0.99099999999999999</v>
      </c>
      <c r="AG29">
        <v>0.92600000000000005</v>
      </c>
      <c r="AH29">
        <v>4.2000000000000003E-2</v>
      </c>
      <c r="AX29">
        <v>2003</v>
      </c>
      <c r="AY29">
        <v>0.28299999999999997</v>
      </c>
      <c r="AZ29">
        <v>-0.26700000000000002</v>
      </c>
      <c r="BA29">
        <v>0.55000000000000004</v>
      </c>
      <c r="BB29">
        <v>0.70299999999999996</v>
      </c>
      <c r="BC29" s="12">
        <v>1.2800000000000001E-7</v>
      </c>
      <c r="BD29">
        <v>1.169</v>
      </c>
      <c r="BE29">
        <v>0.67400000000000004</v>
      </c>
      <c r="BF29">
        <v>0.19500000000000001</v>
      </c>
      <c r="BJ29">
        <v>2004</v>
      </c>
      <c r="BK29">
        <v>-6.3E-2</v>
      </c>
      <c r="BL29">
        <v>-0.38</v>
      </c>
      <c r="BM29">
        <v>0.317</v>
      </c>
      <c r="BN29">
        <v>0.70299999999999996</v>
      </c>
      <c r="BO29" s="12">
        <v>2.6E-7</v>
      </c>
      <c r="BP29">
        <v>0.88600000000000001</v>
      </c>
      <c r="BQ29">
        <v>0.64500000000000002</v>
      </c>
      <c r="BR29">
        <v>8.0000000000000002E-3</v>
      </c>
      <c r="CH29">
        <v>2000</v>
      </c>
      <c r="CI29">
        <v>0.14399999999999999</v>
      </c>
      <c r="CJ29">
        <v>-2.1000000000000001E-2</v>
      </c>
      <c r="CK29">
        <v>0.16600000000000001</v>
      </c>
      <c r="CL29">
        <v>0.70299999999999996</v>
      </c>
      <c r="CM29" s="12">
        <v>3.0199999999999999E-8</v>
      </c>
      <c r="CN29">
        <v>6.6239999999999997</v>
      </c>
      <c r="CO29">
        <v>5.6120000000000001</v>
      </c>
      <c r="CP29">
        <v>0.01</v>
      </c>
      <c r="DR29">
        <v>1988</v>
      </c>
      <c r="DS29">
        <v>0.82599999999999996</v>
      </c>
      <c r="DT29">
        <v>0.28299999999999997</v>
      </c>
      <c r="DU29">
        <v>0.54400000000000004</v>
      </c>
      <c r="DV29">
        <v>0.70299999999999996</v>
      </c>
      <c r="DW29" s="12">
        <v>5.6500000000000001E-9</v>
      </c>
      <c r="DX29">
        <v>1.798</v>
      </c>
      <c r="DY29">
        <v>1.044</v>
      </c>
      <c r="DZ29">
        <v>0.186</v>
      </c>
      <c r="ED29">
        <v>1998</v>
      </c>
      <c r="EE29">
        <v>-0.255</v>
      </c>
      <c r="EF29">
        <v>-5.8000000000000003E-2</v>
      </c>
      <c r="EG29">
        <v>-0.19700000000000001</v>
      </c>
      <c r="EH29">
        <v>0.70299999999999996</v>
      </c>
      <c r="EI29" s="12">
        <v>6.44E-7</v>
      </c>
      <c r="EJ29">
        <v>2.7149999999999999</v>
      </c>
      <c r="EK29">
        <v>3.3050000000000002</v>
      </c>
      <c r="EL29">
        <v>0.20100000000000001</v>
      </c>
      <c r="FB29">
        <v>1987</v>
      </c>
      <c r="FC29">
        <v>-8.9999999999999993E-3</v>
      </c>
      <c r="FD29">
        <v>0.14699999999999999</v>
      </c>
      <c r="FE29">
        <v>-0.156</v>
      </c>
      <c r="FF29">
        <v>0.70299999999999996</v>
      </c>
      <c r="FG29" s="12">
        <v>2.3900000000000001E-7</v>
      </c>
      <c r="FH29">
        <v>0.78400000000000003</v>
      </c>
      <c r="FI29">
        <v>0.91700000000000004</v>
      </c>
      <c r="FJ29">
        <v>0.17199999999999999</v>
      </c>
      <c r="FN29">
        <v>1997</v>
      </c>
      <c r="FO29">
        <v>0.23499999999999999</v>
      </c>
      <c r="FP29">
        <v>0.16400000000000001</v>
      </c>
      <c r="FQ29">
        <v>7.0999999999999994E-2</v>
      </c>
      <c r="FR29">
        <v>0.70299999999999996</v>
      </c>
      <c r="FS29" s="12">
        <v>5.7299999999999999E-9</v>
      </c>
      <c r="FT29">
        <v>0.69</v>
      </c>
      <c r="FU29">
        <v>0.64300000000000002</v>
      </c>
      <c r="FV29">
        <v>4.1000000000000002E-2</v>
      </c>
      <c r="FZ29">
        <v>1997</v>
      </c>
      <c r="GA29">
        <v>-9.1999999999999998E-2</v>
      </c>
      <c r="GB29">
        <v>3.4000000000000002E-2</v>
      </c>
      <c r="GC29">
        <v>-0.126</v>
      </c>
      <c r="GD29">
        <v>0.70299999999999996</v>
      </c>
      <c r="GE29" s="12">
        <v>3.4699999999999999E-10</v>
      </c>
      <c r="GF29">
        <v>6.4000000000000001E-2</v>
      </c>
      <c r="GG29">
        <v>7.2999999999999995E-2</v>
      </c>
      <c r="GH29">
        <v>0.152</v>
      </c>
    </row>
    <row r="30" spans="1:190">
      <c r="A30">
        <f t="shared" si="0"/>
        <v>1997</v>
      </c>
      <c r="B30">
        <v>0</v>
      </c>
      <c r="D30">
        <v>1999</v>
      </c>
      <c r="E30">
        <v>-0.90600000000000003</v>
      </c>
      <c r="F30">
        <v>-0.111</v>
      </c>
      <c r="G30">
        <v>-0.79500000000000004</v>
      </c>
      <c r="H30">
        <v>0.70299999999999996</v>
      </c>
      <c r="I30" s="12">
        <v>2.0299999999999998E-9</v>
      </c>
      <c r="J30">
        <v>0.112</v>
      </c>
      <c r="K30">
        <v>0.248</v>
      </c>
      <c r="L30">
        <v>0.65500000000000003</v>
      </c>
      <c r="O30">
        <v>2004</v>
      </c>
      <c r="P30">
        <v>0.02</v>
      </c>
      <c r="Q30">
        <v>-0.311</v>
      </c>
      <c r="R30">
        <v>0.33100000000000002</v>
      </c>
      <c r="S30">
        <v>0.70299999999999996</v>
      </c>
      <c r="T30" s="12">
        <v>1.96E-8</v>
      </c>
      <c r="U30">
        <v>0.151</v>
      </c>
      <c r="V30">
        <v>0.108</v>
      </c>
      <c r="W30">
        <v>1.2E-2</v>
      </c>
      <c r="Z30">
        <v>1988</v>
      </c>
      <c r="AA30">
        <v>0.246</v>
      </c>
      <c r="AB30">
        <v>0.36599999999999999</v>
      </c>
      <c r="AC30">
        <v>-0.12</v>
      </c>
      <c r="AD30">
        <v>0.70299999999999996</v>
      </c>
      <c r="AE30" s="12">
        <v>2.5800000000000001E-7</v>
      </c>
      <c r="AF30">
        <v>1.03</v>
      </c>
      <c r="AG30">
        <v>1.161</v>
      </c>
      <c r="AH30">
        <v>0.14799999999999999</v>
      </c>
      <c r="AX30">
        <v>2004</v>
      </c>
      <c r="AY30">
        <v>0.156</v>
      </c>
      <c r="AZ30">
        <v>-0.45500000000000002</v>
      </c>
      <c r="BA30">
        <v>0.61099999999999999</v>
      </c>
      <c r="BB30">
        <v>0.70299999999999996</v>
      </c>
      <c r="BC30" s="12">
        <v>1.2800000000000001E-7</v>
      </c>
      <c r="BD30">
        <v>1.0289999999999999</v>
      </c>
      <c r="BE30">
        <v>0.55800000000000005</v>
      </c>
      <c r="BF30">
        <v>0.30099999999999999</v>
      </c>
      <c r="BJ30">
        <v>2005</v>
      </c>
      <c r="BK30">
        <v>-1.2999999999999999E-2</v>
      </c>
      <c r="BL30">
        <v>-0.44</v>
      </c>
      <c r="BM30">
        <v>0.42699999999999999</v>
      </c>
      <c r="BN30">
        <v>0.70299999999999996</v>
      </c>
      <c r="BO30" s="12">
        <v>2.6E-7</v>
      </c>
      <c r="BP30">
        <v>0.93100000000000005</v>
      </c>
      <c r="BQ30">
        <v>0.60799999999999998</v>
      </c>
      <c r="BR30">
        <v>0.06</v>
      </c>
      <c r="CH30">
        <v>2001</v>
      </c>
      <c r="CI30">
        <v>0.83699999999999997</v>
      </c>
      <c r="CJ30">
        <v>-7.6999999999999999E-2</v>
      </c>
      <c r="CK30">
        <v>0.91400000000000003</v>
      </c>
      <c r="CL30">
        <v>0.70299999999999996</v>
      </c>
      <c r="CM30" s="12">
        <v>3.0199999999999999E-8</v>
      </c>
      <c r="CN30">
        <v>13.243</v>
      </c>
      <c r="CO30">
        <v>5.31</v>
      </c>
      <c r="CP30">
        <v>1.401</v>
      </c>
      <c r="DR30">
        <v>1989</v>
      </c>
      <c r="DS30">
        <v>-0.59699999999999998</v>
      </c>
      <c r="DT30">
        <v>0.21</v>
      </c>
      <c r="DU30">
        <v>-0.80700000000000005</v>
      </c>
      <c r="DV30">
        <v>0.70299999999999996</v>
      </c>
      <c r="DW30" s="12">
        <v>5.6500000000000001E-9</v>
      </c>
      <c r="DX30">
        <v>0.433</v>
      </c>
      <c r="DY30">
        <v>0.97</v>
      </c>
      <c r="DZ30">
        <v>0.66300000000000003</v>
      </c>
      <c r="ED30">
        <v>1999</v>
      </c>
      <c r="EE30">
        <v>-7.2999999999999995E-2</v>
      </c>
      <c r="EF30">
        <v>-3.0000000000000001E-3</v>
      </c>
      <c r="EG30">
        <v>-7.0000000000000007E-2</v>
      </c>
      <c r="EH30">
        <v>0.70299999999999996</v>
      </c>
      <c r="EI30" s="12">
        <v>6.44E-7</v>
      </c>
      <c r="EJ30">
        <v>3.2549999999999999</v>
      </c>
      <c r="EK30">
        <v>3.4910000000000001</v>
      </c>
      <c r="EL30">
        <v>0.115</v>
      </c>
      <c r="FB30">
        <v>1988</v>
      </c>
      <c r="FC30">
        <v>0.34200000000000003</v>
      </c>
      <c r="FD30">
        <v>0.35899999999999999</v>
      </c>
      <c r="FE30">
        <v>-1.7000000000000001E-2</v>
      </c>
      <c r="FF30">
        <v>0.70299999999999996</v>
      </c>
      <c r="FG30" s="12">
        <v>2.3900000000000001E-7</v>
      </c>
      <c r="FH30">
        <v>1.1140000000000001</v>
      </c>
      <c r="FI30">
        <v>1.133</v>
      </c>
      <c r="FJ30">
        <v>8.4000000000000005E-2</v>
      </c>
      <c r="FN30">
        <v>1998</v>
      </c>
      <c r="FO30">
        <v>-2.9000000000000001E-2</v>
      </c>
      <c r="FP30">
        <v>7.2999999999999995E-2</v>
      </c>
      <c r="FQ30">
        <v>-0.10199999999999999</v>
      </c>
      <c r="FR30">
        <v>0.70299999999999996</v>
      </c>
      <c r="FS30" s="12">
        <v>5.7299999999999999E-9</v>
      </c>
      <c r="FT30">
        <v>0.53</v>
      </c>
      <c r="FU30">
        <v>0.58699999999999997</v>
      </c>
      <c r="FV30">
        <v>0.13600000000000001</v>
      </c>
      <c r="FZ30">
        <v>1998</v>
      </c>
      <c r="GA30">
        <v>2.379</v>
      </c>
      <c r="GB30">
        <v>-6.6000000000000003E-2</v>
      </c>
      <c r="GC30">
        <v>2.4449999999999998</v>
      </c>
      <c r="GD30">
        <v>0.70299999999999996</v>
      </c>
      <c r="GE30" s="12">
        <v>3.4699999999999999E-10</v>
      </c>
      <c r="GF30">
        <v>0.76300000000000001</v>
      </c>
      <c r="GG30">
        <v>6.6000000000000003E-2</v>
      </c>
      <c r="GH30">
        <v>100.127</v>
      </c>
    </row>
    <row r="31" spans="1:190">
      <c r="A31">
        <f t="shared" si="0"/>
        <v>1998</v>
      </c>
      <c r="B31">
        <v>0</v>
      </c>
      <c r="D31">
        <v>2001</v>
      </c>
      <c r="E31">
        <v>0.9</v>
      </c>
      <c r="F31">
        <v>-0.19700000000000001</v>
      </c>
      <c r="G31">
        <v>1.097</v>
      </c>
      <c r="H31">
        <v>0.70299999999999996</v>
      </c>
      <c r="I31" s="12">
        <v>2.0299999999999998E-9</v>
      </c>
      <c r="J31">
        <v>0.68100000000000005</v>
      </c>
      <c r="K31">
        <v>0.22700000000000001</v>
      </c>
      <c r="L31">
        <v>2.802</v>
      </c>
      <c r="O31">
        <v>2005</v>
      </c>
      <c r="P31">
        <v>-0.41499999999999998</v>
      </c>
      <c r="Q31">
        <v>-0.311</v>
      </c>
      <c r="R31">
        <v>-0.104</v>
      </c>
      <c r="S31">
        <v>0.70299999999999996</v>
      </c>
      <c r="T31" s="12">
        <v>1.96E-8</v>
      </c>
      <c r="U31">
        <v>9.8000000000000004E-2</v>
      </c>
      <c r="V31">
        <v>0.108</v>
      </c>
      <c r="W31">
        <v>0.13700000000000001</v>
      </c>
      <c r="Z31">
        <v>1989</v>
      </c>
      <c r="AA31">
        <v>-3.2000000000000001E-2</v>
      </c>
      <c r="AB31">
        <v>0.35299999999999998</v>
      </c>
      <c r="AC31">
        <v>-0.38600000000000001</v>
      </c>
      <c r="AD31">
        <v>0.70299999999999996</v>
      </c>
      <c r="AE31" s="12">
        <v>2.5800000000000001E-7</v>
      </c>
      <c r="AF31">
        <v>0.78</v>
      </c>
      <c r="AG31">
        <v>1.147</v>
      </c>
      <c r="AH31">
        <v>0.34399999999999997</v>
      </c>
      <c r="AX31">
        <v>2005</v>
      </c>
      <c r="AY31">
        <v>6.3E-2</v>
      </c>
      <c r="AZ31">
        <v>-0.23599999999999999</v>
      </c>
      <c r="BA31">
        <v>0.3</v>
      </c>
      <c r="BB31">
        <v>0.70299999999999996</v>
      </c>
      <c r="BC31" s="12">
        <v>1.2800000000000001E-7</v>
      </c>
      <c r="BD31">
        <v>0.93799999999999994</v>
      </c>
      <c r="BE31">
        <v>0.69499999999999995</v>
      </c>
      <c r="BF31">
        <v>4.0000000000000001E-3</v>
      </c>
      <c r="BJ31">
        <v>2006</v>
      </c>
      <c r="BK31">
        <v>-3.5999999999999997E-2</v>
      </c>
      <c r="BL31">
        <v>-0.28100000000000003</v>
      </c>
      <c r="BM31">
        <v>0.245</v>
      </c>
      <c r="BN31">
        <v>0.70299999999999996</v>
      </c>
      <c r="BO31" s="12">
        <v>2.6E-7</v>
      </c>
      <c r="BP31">
        <v>0.91</v>
      </c>
      <c r="BQ31">
        <v>0.71199999999999997</v>
      </c>
      <c r="BR31">
        <v>0</v>
      </c>
      <c r="CH31">
        <v>2002</v>
      </c>
      <c r="CI31">
        <v>0.35599999999999998</v>
      </c>
      <c r="CJ31">
        <v>-0.19</v>
      </c>
      <c r="CK31">
        <v>0.54600000000000004</v>
      </c>
      <c r="CL31">
        <v>0.70299999999999996</v>
      </c>
      <c r="CM31" s="12">
        <v>3.0199999999999999E-8</v>
      </c>
      <c r="CN31">
        <v>8.1809999999999992</v>
      </c>
      <c r="CO31">
        <v>4.7389999999999999</v>
      </c>
      <c r="CP31">
        <v>0.189</v>
      </c>
      <c r="DR31">
        <v>1990</v>
      </c>
      <c r="DS31">
        <v>0.745</v>
      </c>
      <c r="DT31">
        <v>0.14599999999999999</v>
      </c>
      <c r="DU31">
        <v>0.59899999999999998</v>
      </c>
      <c r="DV31">
        <v>0.70299999999999996</v>
      </c>
      <c r="DW31" s="12">
        <v>5.6500000000000001E-9</v>
      </c>
      <c r="DX31">
        <v>1.6579999999999999</v>
      </c>
      <c r="DY31">
        <v>0.91100000000000003</v>
      </c>
      <c r="DZ31">
        <v>0.27700000000000002</v>
      </c>
      <c r="ED31">
        <v>2000</v>
      </c>
      <c r="EE31">
        <v>0.19800000000000001</v>
      </c>
      <c r="EF31">
        <v>6.6000000000000003E-2</v>
      </c>
      <c r="EG31">
        <v>0.13200000000000001</v>
      </c>
      <c r="EH31">
        <v>0.70299999999999996</v>
      </c>
      <c r="EI31" s="12">
        <v>6.44E-7</v>
      </c>
      <c r="EJ31">
        <v>4.2679999999999998</v>
      </c>
      <c r="EK31">
        <v>3.74</v>
      </c>
      <c r="EL31">
        <v>1.9E-2</v>
      </c>
      <c r="FB31">
        <v>1989</v>
      </c>
      <c r="FC31">
        <v>-0.02</v>
      </c>
      <c r="FD31">
        <v>0.34200000000000003</v>
      </c>
      <c r="FE31">
        <v>-0.36199999999999999</v>
      </c>
      <c r="FF31">
        <v>0.70299999999999996</v>
      </c>
      <c r="FG31" s="12">
        <v>2.3900000000000001E-7</v>
      </c>
      <c r="FH31">
        <v>0.77600000000000002</v>
      </c>
      <c r="FI31">
        <v>1.1140000000000001</v>
      </c>
      <c r="FJ31">
        <v>0.32500000000000001</v>
      </c>
      <c r="FN31">
        <v>1999</v>
      </c>
      <c r="FO31">
        <v>-0.215</v>
      </c>
      <c r="FP31">
        <v>6.0000000000000001E-3</v>
      </c>
      <c r="FQ31">
        <v>-0.221</v>
      </c>
      <c r="FR31">
        <v>0.70299999999999996</v>
      </c>
      <c r="FS31" s="12">
        <v>5.7299999999999999E-9</v>
      </c>
      <c r="FT31">
        <v>0.44</v>
      </c>
      <c r="FU31">
        <v>0.54900000000000004</v>
      </c>
      <c r="FV31">
        <v>0.218</v>
      </c>
      <c r="FZ31">
        <v>1999</v>
      </c>
      <c r="GA31">
        <v>2.9000000000000001E-2</v>
      </c>
      <c r="GB31">
        <v>-8.8999999999999996E-2</v>
      </c>
      <c r="GC31">
        <v>0.11799999999999999</v>
      </c>
      <c r="GD31">
        <v>0.70299999999999996</v>
      </c>
      <c r="GE31" s="12">
        <v>3.4699999999999999E-10</v>
      </c>
      <c r="GF31">
        <v>7.2999999999999995E-2</v>
      </c>
      <c r="GG31">
        <v>6.5000000000000002E-2</v>
      </c>
      <c r="GH31">
        <v>2.3E-2</v>
      </c>
    </row>
    <row r="32" spans="1:190">
      <c r="A32">
        <f t="shared" si="0"/>
        <v>1999</v>
      </c>
      <c r="B32">
        <v>0</v>
      </c>
      <c r="D32">
        <v>2002</v>
      </c>
      <c r="E32">
        <v>4.9000000000000002E-2</v>
      </c>
      <c r="F32">
        <v>-0.29399999999999998</v>
      </c>
      <c r="G32">
        <v>0.34300000000000003</v>
      </c>
      <c r="H32">
        <v>0.70299999999999996</v>
      </c>
      <c r="I32" s="12">
        <v>2.0299999999999998E-9</v>
      </c>
      <c r="J32">
        <v>0.29099999999999998</v>
      </c>
      <c r="K32">
        <v>0.20599999999999999</v>
      </c>
      <c r="L32">
        <v>1.6E-2</v>
      </c>
      <c r="O32">
        <v>2006</v>
      </c>
      <c r="P32">
        <v>-2.1999999999999999E-2</v>
      </c>
      <c r="Q32">
        <v>-0.19800000000000001</v>
      </c>
      <c r="R32">
        <v>0.17599999999999999</v>
      </c>
      <c r="S32">
        <v>0.70299999999999996</v>
      </c>
      <c r="T32" s="12">
        <v>1.96E-8</v>
      </c>
      <c r="U32">
        <v>0.14499999999999999</v>
      </c>
      <c r="V32">
        <v>0.121</v>
      </c>
      <c r="W32">
        <v>7.0000000000000001E-3</v>
      </c>
      <c r="Z32">
        <v>1990</v>
      </c>
      <c r="AA32">
        <v>0.27700000000000002</v>
      </c>
      <c r="AB32">
        <v>0.20699999999999999</v>
      </c>
      <c r="AC32">
        <v>7.0999999999999994E-2</v>
      </c>
      <c r="AD32">
        <v>0.70299999999999996</v>
      </c>
      <c r="AE32" s="12">
        <v>2.5800000000000001E-7</v>
      </c>
      <c r="AF32">
        <v>1.0629999999999999</v>
      </c>
      <c r="AG32">
        <v>0.99099999999999999</v>
      </c>
      <c r="AH32">
        <v>4.1000000000000002E-2</v>
      </c>
      <c r="AX32">
        <v>2006</v>
      </c>
      <c r="AY32">
        <v>0.38300000000000001</v>
      </c>
      <c r="AZ32">
        <v>-0.26100000000000001</v>
      </c>
      <c r="BA32">
        <v>0.64300000000000002</v>
      </c>
      <c r="BB32">
        <v>0.70299999999999996</v>
      </c>
      <c r="BC32" s="12">
        <v>1.2800000000000001E-7</v>
      </c>
      <c r="BD32">
        <v>1.2909999999999999</v>
      </c>
      <c r="BE32">
        <v>0.67800000000000005</v>
      </c>
      <c r="BF32">
        <v>0.36899999999999999</v>
      </c>
      <c r="CH32">
        <v>2003</v>
      </c>
      <c r="CI32">
        <v>-0.36</v>
      </c>
      <c r="CJ32">
        <v>-0.375</v>
      </c>
      <c r="CK32">
        <v>1.4E-2</v>
      </c>
      <c r="CL32">
        <v>0.70299999999999996</v>
      </c>
      <c r="CM32" s="12">
        <v>3.0199999999999999E-8</v>
      </c>
      <c r="CN32">
        <v>3.9990000000000001</v>
      </c>
      <c r="CO32">
        <v>3.9409999999999998</v>
      </c>
      <c r="CP32">
        <v>6.7000000000000004E-2</v>
      </c>
      <c r="DR32">
        <v>1991</v>
      </c>
      <c r="DS32">
        <v>0.42199999999999999</v>
      </c>
      <c r="DT32">
        <v>0.23200000000000001</v>
      </c>
      <c r="DU32">
        <v>0.19</v>
      </c>
      <c r="DV32">
        <v>0.70299999999999996</v>
      </c>
      <c r="DW32" s="12">
        <v>5.6500000000000001E-9</v>
      </c>
      <c r="DX32">
        <v>1.2</v>
      </c>
      <c r="DY32">
        <v>0.99299999999999999</v>
      </c>
      <c r="DZ32">
        <v>5.0000000000000001E-3</v>
      </c>
      <c r="ED32">
        <v>2001</v>
      </c>
      <c r="EE32">
        <v>-0.28299999999999997</v>
      </c>
      <c r="EF32">
        <v>0.03</v>
      </c>
      <c r="EG32">
        <v>-0.314</v>
      </c>
      <c r="EH32">
        <v>0.70299999999999996</v>
      </c>
      <c r="EI32" s="12">
        <v>6.44E-7</v>
      </c>
      <c r="EJ32">
        <v>2.6379999999999999</v>
      </c>
      <c r="EK32">
        <v>3.61</v>
      </c>
      <c r="EL32">
        <v>0.28799999999999998</v>
      </c>
      <c r="FB32">
        <v>1990</v>
      </c>
      <c r="FC32">
        <v>-0.02</v>
      </c>
      <c r="FD32">
        <v>0.20100000000000001</v>
      </c>
      <c r="FE32">
        <v>-0.221</v>
      </c>
      <c r="FF32">
        <v>0.70299999999999996</v>
      </c>
      <c r="FG32" s="12">
        <v>2.3900000000000001E-7</v>
      </c>
      <c r="FH32">
        <v>0.77600000000000002</v>
      </c>
      <c r="FI32">
        <v>0.96799999999999997</v>
      </c>
      <c r="FJ32">
        <v>0.219</v>
      </c>
      <c r="FN32">
        <v>2000</v>
      </c>
      <c r="FO32">
        <v>-0.31</v>
      </c>
      <c r="FP32">
        <v>1.2999999999999999E-2</v>
      </c>
      <c r="FQ32">
        <v>-0.32300000000000001</v>
      </c>
      <c r="FR32">
        <v>0.70299999999999996</v>
      </c>
      <c r="FS32" s="12">
        <v>5.7299999999999999E-9</v>
      </c>
      <c r="FT32">
        <v>0.4</v>
      </c>
      <c r="FU32">
        <v>0.55300000000000005</v>
      </c>
      <c r="FV32">
        <v>0.29499999999999998</v>
      </c>
      <c r="FZ32">
        <v>2000</v>
      </c>
      <c r="GA32">
        <v>-3.4390000000000001</v>
      </c>
      <c r="GB32">
        <v>2.5000000000000001E-2</v>
      </c>
      <c r="GC32">
        <v>-3.464</v>
      </c>
      <c r="GD32">
        <v>0.70299999999999996</v>
      </c>
      <c r="GE32" s="12">
        <v>3.4699999999999999E-10</v>
      </c>
      <c r="GF32">
        <v>2E-3</v>
      </c>
      <c r="GG32">
        <v>7.1999999999999995E-2</v>
      </c>
      <c r="GH32">
        <v>1.4870000000000001</v>
      </c>
    </row>
    <row r="33" spans="1:190">
      <c r="A33">
        <f t="shared" si="0"/>
        <v>2000</v>
      </c>
      <c r="B33">
        <v>0</v>
      </c>
      <c r="D33">
        <v>2003</v>
      </c>
      <c r="E33">
        <v>-0.151</v>
      </c>
      <c r="F33">
        <v>-0.35199999999999998</v>
      </c>
      <c r="G33">
        <v>0.20100000000000001</v>
      </c>
      <c r="H33">
        <v>0.70299999999999996</v>
      </c>
      <c r="I33" s="12">
        <v>2.0299999999999998E-9</v>
      </c>
      <c r="J33">
        <v>0.23799999999999999</v>
      </c>
      <c r="K33">
        <v>0.19500000000000001</v>
      </c>
      <c r="L33">
        <v>3.0000000000000001E-3</v>
      </c>
      <c r="Z33">
        <v>1991</v>
      </c>
      <c r="AA33">
        <v>-1.0999999999999999E-2</v>
      </c>
      <c r="AB33">
        <v>0.127</v>
      </c>
      <c r="AC33">
        <v>-0.13900000000000001</v>
      </c>
      <c r="AD33">
        <v>0.70299999999999996</v>
      </c>
      <c r="AE33" s="12">
        <v>2.5800000000000001E-7</v>
      </c>
      <c r="AF33">
        <v>0.79700000000000004</v>
      </c>
      <c r="AG33">
        <v>0.91500000000000004</v>
      </c>
      <c r="AH33">
        <v>0.16</v>
      </c>
      <c r="CH33">
        <v>2004</v>
      </c>
      <c r="CI33">
        <v>-0.874</v>
      </c>
      <c r="CJ33">
        <v>-0.44900000000000001</v>
      </c>
      <c r="CK33">
        <v>-0.42499999999999999</v>
      </c>
      <c r="CL33">
        <v>0.70299999999999996</v>
      </c>
      <c r="CM33" s="12">
        <v>3.0199999999999999E-8</v>
      </c>
      <c r="CN33">
        <v>2.3929999999999998</v>
      </c>
      <c r="CO33">
        <v>3.6589999999999998</v>
      </c>
      <c r="CP33">
        <v>0.374</v>
      </c>
      <c r="DR33">
        <v>1992</v>
      </c>
      <c r="DS33">
        <v>1.0900000000000001</v>
      </c>
      <c r="DT33">
        <v>0.13</v>
      </c>
      <c r="DU33">
        <v>0.96</v>
      </c>
      <c r="DV33">
        <v>0.70299999999999996</v>
      </c>
      <c r="DW33" s="12">
        <v>5.6500000000000001E-9</v>
      </c>
      <c r="DX33">
        <v>2.34</v>
      </c>
      <c r="DY33">
        <v>0.89600000000000002</v>
      </c>
      <c r="DZ33">
        <v>1.6879999999999999</v>
      </c>
      <c r="ED33">
        <v>2002</v>
      </c>
      <c r="EE33">
        <v>-0.66700000000000004</v>
      </c>
      <c r="EF33">
        <v>-0.17599999999999999</v>
      </c>
      <c r="EG33">
        <v>-0.49199999999999999</v>
      </c>
      <c r="EH33">
        <v>0.70299999999999996</v>
      </c>
      <c r="EI33" s="12">
        <v>6.44E-7</v>
      </c>
      <c r="EJ33">
        <v>1.796</v>
      </c>
      <c r="EK33">
        <v>2.9369999999999998</v>
      </c>
      <c r="EL33">
        <v>0.42599999999999999</v>
      </c>
      <c r="FB33">
        <v>1991</v>
      </c>
      <c r="FC33">
        <v>0.11</v>
      </c>
      <c r="FD33">
        <v>0.128</v>
      </c>
      <c r="FE33">
        <v>-1.7999999999999999E-2</v>
      </c>
      <c r="FF33">
        <v>0.70299999999999996</v>
      </c>
      <c r="FG33" s="12">
        <v>2.3900000000000001E-7</v>
      </c>
      <c r="FH33">
        <v>0.88400000000000001</v>
      </c>
      <c r="FI33">
        <v>0.89900000000000002</v>
      </c>
      <c r="FJ33">
        <v>8.5000000000000006E-2</v>
      </c>
      <c r="FN33">
        <v>2001</v>
      </c>
      <c r="FO33">
        <v>-6.8000000000000005E-2</v>
      </c>
      <c r="FP33">
        <v>0.111</v>
      </c>
      <c r="FQ33">
        <v>-0.17899999999999999</v>
      </c>
      <c r="FR33">
        <v>0.70299999999999996</v>
      </c>
      <c r="FS33" s="12">
        <v>5.7299999999999999E-9</v>
      </c>
      <c r="FT33">
        <v>0.51</v>
      </c>
      <c r="FU33">
        <v>0.61</v>
      </c>
      <c r="FV33">
        <v>0.188</v>
      </c>
      <c r="FZ33">
        <v>2001</v>
      </c>
      <c r="GA33">
        <v>-7.484</v>
      </c>
      <c r="GB33">
        <v>-0.14799999999999999</v>
      </c>
      <c r="GC33">
        <v>-7.3360000000000003</v>
      </c>
      <c r="GD33">
        <v>0.70299999999999996</v>
      </c>
      <c r="GE33" s="12">
        <v>3.4699999999999999E-10</v>
      </c>
      <c r="GF33">
        <v>0</v>
      </c>
      <c r="GG33">
        <v>6.0999999999999999E-2</v>
      </c>
      <c r="GH33">
        <v>1.56</v>
      </c>
    </row>
    <row r="34" spans="1:190">
      <c r="A34">
        <f t="shared" si="0"/>
        <v>2001</v>
      </c>
      <c r="B34">
        <v>0</v>
      </c>
      <c r="D34">
        <v>2004</v>
      </c>
      <c r="E34">
        <v>-1.1180000000000001</v>
      </c>
      <c r="F34">
        <v>-0.50600000000000001</v>
      </c>
      <c r="G34">
        <v>-0.61199999999999999</v>
      </c>
      <c r="H34">
        <v>0.70299999999999996</v>
      </c>
      <c r="I34" s="12">
        <v>2.0299999999999998E-9</v>
      </c>
      <c r="J34">
        <v>9.0999999999999998E-2</v>
      </c>
      <c r="K34">
        <v>0.16700000000000001</v>
      </c>
      <c r="L34">
        <v>0.51900000000000002</v>
      </c>
      <c r="Z34">
        <v>1992</v>
      </c>
      <c r="AA34">
        <v>3.4000000000000002E-2</v>
      </c>
      <c r="AB34">
        <v>0.123</v>
      </c>
      <c r="AC34">
        <v>-8.8999999999999996E-2</v>
      </c>
      <c r="AD34">
        <v>0.70299999999999996</v>
      </c>
      <c r="AE34" s="12">
        <v>2.5800000000000001E-7</v>
      </c>
      <c r="AF34">
        <v>0.83299999999999996</v>
      </c>
      <c r="AG34">
        <v>0.91100000000000003</v>
      </c>
      <c r="AH34">
        <v>0.128</v>
      </c>
      <c r="CH34">
        <v>2005</v>
      </c>
      <c r="CI34">
        <v>-1.5429999999999999</v>
      </c>
      <c r="CJ34">
        <v>-0.46300000000000002</v>
      </c>
      <c r="CK34">
        <v>-1.08</v>
      </c>
      <c r="CL34">
        <v>0.70299999999999996</v>
      </c>
      <c r="CM34" s="12">
        <v>3.0199999999999999E-8</v>
      </c>
      <c r="CN34">
        <v>1.226</v>
      </c>
      <c r="CO34">
        <v>3.6080000000000001</v>
      </c>
      <c r="CP34">
        <v>0.84299999999999997</v>
      </c>
      <c r="DR34">
        <v>1993</v>
      </c>
      <c r="DS34">
        <v>0.88100000000000001</v>
      </c>
      <c r="DT34">
        <v>-1.4E-2</v>
      </c>
      <c r="DU34">
        <v>0.89500000000000002</v>
      </c>
      <c r="DV34">
        <v>0.70299999999999996</v>
      </c>
      <c r="DW34" s="12">
        <v>5.6500000000000001E-9</v>
      </c>
      <c r="DX34">
        <v>1.899</v>
      </c>
      <c r="DY34">
        <v>0.77600000000000002</v>
      </c>
      <c r="DZ34">
        <v>1.294</v>
      </c>
      <c r="ED34">
        <v>2003</v>
      </c>
      <c r="EE34">
        <v>-0.314</v>
      </c>
      <c r="EF34">
        <v>-0.27500000000000002</v>
      </c>
      <c r="EG34">
        <v>-3.9E-2</v>
      </c>
      <c r="EH34">
        <v>0.70299999999999996</v>
      </c>
      <c r="EI34" s="12">
        <v>6.44E-7</v>
      </c>
      <c r="EJ34">
        <v>2.5579999999999998</v>
      </c>
      <c r="EK34">
        <v>2.6589999999999998</v>
      </c>
      <c r="EL34">
        <v>9.7000000000000003E-2</v>
      </c>
      <c r="FB34">
        <v>1992</v>
      </c>
      <c r="FC34">
        <v>-0.19900000000000001</v>
      </c>
      <c r="FD34">
        <v>0.123</v>
      </c>
      <c r="FE34">
        <v>-0.32200000000000001</v>
      </c>
      <c r="FF34">
        <v>0.70299999999999996</v>
      </c>
      <c r="FG34" s="12">
        <v>2.3900000000000001E-7</v>
      </c>
      <c r="FH34">
        <v>0.64900000000000002</v>
      </c>
      <c r="FI34">
        <v>0.89500000000000002</v>
      </c>
      <c r="FJ34">
        <v>0.29399999999999998</v>
      </c>
      <c r="FN34">
        <v>2002</v>
      </c>
      <c r="FO34">
        <v>0.249</v>
      </c>
      <c r="FP34">
        <v>6.6000000000000003E-2</v>
      </c>
      <c r="FQ34">
        <v>0.183</v>
      </c>
      <c r="FR34">
        <v>0.70299999999999996</v>
      </c>
      <c r="FS34" s="12">
        <v>5.7299999999999999E-9</v>
      </c>
      <c r="FT34">
        <v>0.7</v>
      </c>
      <c r="FU34">
        <v>0.58299999999999996</v>
      </c>
      <c r="FV34">
        <v>6.0000000000000001E-3</v>
      </c>
      <c r="FZ34">
        <v>2002</v>
      </c>
      <c r="GA34">
        <v>-1.054</v>
      </c>
      <c r="GB34">
        <v>-0.187</v>
      </c>
      <c r="GC34">
        <v>-0.86699999999999999</v>
      </c>
      <c r="GD34">
        <v>0.70299999999999996</v>
      </c>
      <c r="GE34" s="12">
        <v>3.4699999999999999E-10</v>
      </c>
      <c r="GF34">
        <v>2.5000000000000001E-2</v>
      </c>
      <c r="GG34">
        <v>5.8999999999999997E-2</v>
      </c>
      <c r="GH34">
        <v>0.70499999999999996</v>
      </c>
    </row>
    <row r="35" spans="1:190">
      <c r="A35">
        <f t="shared" si="0"/>
        <v>2002</v>
      </c>
      <c r="B35">
        <v>0</v>
      </c>
      <c r="D35">
        <v>2005</v>
      </c>
      <c r="E35">
        <v>-0.98499999999999999</v>
      </c>
      <c r="F35">
        <v>-0.374</v>
      </c>
      <c r="G35">
        <v>-0.61099999999999999</v>
      </c>
      <c r="H35">
        <v>0.70299999999999996</v>
      </c>
      <c r="I35" s="12">
        <v>2.0299999999999998E-9</v>
      </c>
      <c r="J35">
        <v>0.10299999999999999</v>
      </c>
      <c r="K35">
        <v>0.191</v>
      </c>
      <c r="L35">
        <v>0.51900000000000002</v>
      </c>
      <c r="Z35">
        <v>1993</v>
      </c>
      <c r="AA35">
        <v>-0.60799999999999998</v>
      </c>
      <c r="AB35">
        <v>0.108</v>
      </c>
      <c r="AC35">
        <v>-0.71599999999999997</v>
      </c>
      <c r="AD35">
        <v>0.70299999999999996</v>
      </c>
      <c r="AE35" s="12">
        <v>2.5800000000000001E-7</v>
      </c>
      <c r="AF35">
        <v>0.439</v>
      </c>
      <c r="AG35">
        <v>0.89800000000000002</v>
      </c>
      <c r="AH35">
        <v>0.59699999999999998</v>
      </c>
      <c r="DR35">
        <v>1994</v>
      </c>
      <c r="DS35">
        <v>0.58599999999999997</v>
      </c>
      <c r="DT35">
        <v>0.17</v>
      </c>
      <c r="DU35">
        <v>0.41599999999999998</v>
      </c>
      <c r="DV35">
        <v>0.70299999999999996</v>
      </c>
      <c r="DW35" s="12">
        <v>5.6500000000000001E-9</v>
      </c>
      <c r="DX35">
        <v>1.4139999999999999</v>
      </c>
      <c r="DY35">
        <v>0.93300000000000005</v>
      </c>
      <c r="DZ35">
        <v>5.1999999999999998E-2</v>
      </c>
      <c r="ED35">
        <v>2004</v>
      </c>
      <c r="EE35">
        <v>-0.318</v>
      </c>
      <c r="EF35">
        <v>-0.38900000000000001</v>
      </c>
      <c r="EG35">
        <v>7.0999999999999994E-2</v>
      </c>
      <c r="EH35">
        <v>0.70299999999999996</v>
      </c>
      <c r="EI35" s="12">
        <v>6.44E-7</v>
      </c>
      <c r="EJ35">
        <v>2.5470000000000002</v>
      </c>
      <c r="EK35">
        <v>2.3719999999999999</v>
      </c>
      <c r="EL35">
        <v>4.1000000000000002E-2</v>
      </c>
      <c r="FB35">
        <v>1993</v>
      </c>
      <c r="FC35">
        <v>9.1999999999999998E-2</v>
      </c>
      <c r="FD35">
        <v>0.109</v>
      </c>
      <c r="FE35">
        <v>-1.7999999999999999E-2</v>
      </c>
      <c r="FF35">
        <v>0.70299999999999996</v>
      </c>
      <c r="FG35" s="12">
        <v>2.3900000000000001E-7</v>
      </c>
      <c r="FH35">
        <v>0.86799999999999999</v>
      </c>
      <c r="FI35">
        <v>0.88300000000000001</v>
      </c>
      <c r="FJ35">
        <v>8.5000000000000006E-2</v>
      </c>
      <c r="FN35">
        <v>2003</v>
      </c>
      <c r="FO35">
        <v>0.37</v>
      </c>
      <c r="FP35">
        <v>-0.125</v>
      </c>
      <c r="FQ35">
        <v>0.495</v>
      </c>
      <c r="FR35">
        <v>0.70299999999999996</v>
      </c>
      <c r="FS35" s="12">
        <v>5.7299999999999999E-9</v>
      </c>
      <c r="FT35">
        <v>0.79</v>
      </c>
      <c r="FU35">
        <v>0.48099999999999998</v>
      </c>
      <c r="FV35">
        <v>0.123</v>
      </c>
      <c r="FZ35">
        <v>2003</v>
      </c>
      <c r="GA35">
        <v>-0.42599999999999999</v>
      </c>
      <c r="GB35">
        <v>-0.32400000000000001</v>
      </c>
      <c r="GC35">
        <v>-0.10199999999999999</v>
      </c>
      <c r="GD35">
        <v>0.70299999999999996</v>
      </c>
      <c r="GE35" s="12">
        <v>3.4699999999999999E-10</v>
      </c>
      <c r="GF35">
        <v>4.5999999999999999E-2</v>
      </c>
      <c r="GG35">
        <v>5.0999999999999997E-2</v>
      </c>
      <c r="GH35">
        <v>0.13600000000000001</v>
      </c>
    </row>
    <row r="36" spans="1:190">
      <c r="A36">
        <f t="shared" si="0"/>
        <v>2003</v>
      </c>
      <c r="B36">
        <v>0</v>
      </c>
      <c r="D36">
        <v>2006</v>
      </c>
      <c r="E36">
        <v>0.30499999999999999</v>
      </c>
      <c r="F36">
        <v>-0.23200000000000001</v>
      </c>
      <c r="G36">
        <v>0.53700000000000003</v>
      </c>
      <c r="H36">
        <v>0.70299999999999996</v>
      </c>
      <c r="I36" s="12">
        <v>2.0299999999999998E-9</v>
      </c>
      <c r="J36">
        <v>0.376</v>
      </c>
      <c r="K36">
        <v>0.219</v>
      </c>
      <c r="L36">
        <v>0.17699999999999999</v>
      </c>
      <c r="Z36">
        <v>1994</v>
      </c>
      <c r="AA36">
        <v>-7.5999999999999998E-2</v>
      </c>
      <c r="AB36">
        <v>7.9000000000000001E-2</v>
      </c>
      <c r="AC36">
        <v>-0.155</v>
      </c>
      <c r="AD36">
        <v>0.70299999999999996</v>
      </c>
      <c r="AE36" s="12">
        <v>2.5800000000000001E-7</v>
      </c>
      <c r="AF36">
        <v>0.747</v>
      </c>
      <c r="AG36">
        <v>0.872</v>
      </c>
      <c r="AH36">
        <v>0.17100000000000001</v>
      </c>
      <c r="DR36">
        <v>1995</v>
      </c>
      <c r="DS36">
        <v>7.0999999999999994E-2</v>
      </c>
      <c r="DT36">
        <v>0.17699999999999999</v>
      </c>
      <c r="DU36">
        <v>-0.106</v>
      </c>
      <c r="DV36">
        <v>0.70299999999999996</v>
      </c>
      <c r="DW36" s="12">
        <v>5.6500000000000001E-9</v>
      </c>
      <c r="DX36">
        <v>0.84499999999999997</v>
      </c>
      <c r="DY36">
        <v>0.93899999999999995</v>
      </c>
      <c r="DZ36">
        <v>0.13800000000000001</v>
      </c>
      <c r="ED36">
        <v>2005</v>
      </c>
      <c r="EE36">
        <v>0.52800000000000002</v>
      </c>
      <c r="EF36">
        <v>-0.34300000000000003</v>
      </c>
      <c r="EG36">
        <v>0.871</v>
      </c>
      <c r="EH36">
        <v>0.70299999999999996</v>
      </c>
      <c r="EI36" s="12">
        <v>6.44E-7</v>
      </c>
      <c r="EJ36">
        <v>5.9370000000000003</v>
      </c>
      <c r="EK36">
        <v>2.484</v>
      </c>
      <c r="EL36">
        <v>1.1719999999999999</v>
      </c>
      <c r="FB36">
        <v>1994</v>
      </c>
      <c r="FC36">
        <v>0.40699999999999997</v>
      </c>
      <c r="FD36">
        <v>8.3000000000000004E-2</v>
      </c>
      <c r="FE36">
        <v>0.32400000000000001</v>
      </c>
      <c r="FF36">
        <v>0.70299999999999996</v>
      </c>
      <c r="FG36" s="12">
        <v>2.3900000000000001E-7</v>
      </c>
      <c r="FH36">
        <v>1.1890000000000001</v>
      </c>
      <c r="FI36">
        <v>0.86</v>
      </c>
      <c r="FJ36">
        <v>0.01</v>
      </c>
      <c r="FN36">
        <v>2004</v>
      </c>
      <c r="FO36">
        <v>-2.9000000000000001E-2</v>
      </c>
      <c r="FP36">
        <v>-0.19400000000000001</v>
      </c>
      <c r="FQ36">
        <v>0.16500000000000001</v>
      </c>
      <c r="FR36">
        <v>0.70299999999999996</v>
      </c>
      <c r="FS36" s="12">
        <v>5.7299999999999999E-9</v>
      </c>
      <c r="FT36">
        <v>0.53</v>
      </c>
      <c r="FU36">
        <v>0.44900000000000001</v>
      </c>
      <c r="FV36">
        <v>0.01</v>
      </c>
      <c r="FZ36">
        <v>2004</v>
      </c>
      <c r="GA36">
        <v>-0.61799999999999999</v>
      </c>
      <c r="GB36">
        <v>-0.46500000000000002</v>
      </c>
      <c r="GC36">
        <v>-0.153</v>
      </c>
      <c r="GD36">
        <v>0.70299999999999996</v>
      </c>
      <c r="GE36" s="12">
        <v>3.4699999999999999E-10</v>
      </c>
      <c r="GF36">
        <v>3.7999999999999999E-2</v>
      </c>
      <c r="GG36">
        <v>4.3999999999999997E-2</v>
      </c>
      <c r="GH36">
        <v>0.17</v>
      </c>
    </row>
    <row r="37" spans="1:190">
      <c r="A37">
        <f t="shared" si="0"/>
        <v>2004</v>
      </c>
      <c r="B37">
        <v>0</v>
      </c>
      <c r="Z37">
        <v>1995</v>
      </c>
      <c r="AA37">
        <v>-0.5</v>
      </c>
      <c r="AB37">
        <v>0.114</v>
      </c>
      <c r="AC37">
        <v>-0.61399999999999999</v>
      </c>
      <c r="AD37">
        <v>0.70299999999999996</v>
      </c>
      <c r="AE37" s="12">
        <v>2.5800000000000001E-7</v>
      </c>
      <c r="AF37">
        <v>0.48899999999999999</v>
      </c>
      <c r="AG37">
        <v>0.90300000000000002</v>
      </c>
      <c r="AH37">
        <v>0.52100000000000002</v>
      </c>
      <c r="DR37">
        <v>1996</v>
      </c>
      <c r="DS37">
        <v>0.56200000000000006</v>
      </c>
      <c r="DT37">
        <v>6.6000000000000003E-2</v>
      </c>
      <c r="DU37">
        <v>0.497</v>
      </c>
      <c r="DV37">
        <v>0.70299999999999996</v>
      </c>
      <c r="DW37" s="12">
        <v>5.6500000000000001E-9</v>
      </c>
      <c r="DX37">
        <v>1.381</v>
      </c>
      <c r="DY37">
        <v>0.84</v>
      </c>
      <c r="DZ37">
        <v>0.126</v>
      </c>
      <c r="ED37">
        <v>2006</v>
      </c>
      <c r="EE37">
        <v>-0.40600000000000003</v>
      </c>
      <c r="EF37">
        <v>-0.26300000000000001</v>
      </c>
      <c r="EG37">
        <v>-0.14299999999999999</v>
      </c>
      <c r="EH37">
        <v>0.70299999999999996</v>
      </c>
      <c r="EI37" s="12">
        <v>6.44E-7</v>
      </c>
      <c r="EJ37">
        <v>2.3330000000000002</v>
      </c>
      <c r="EK37">
        <v>2.6909999999999998</v>
      </c>
      <c r="EL37">
        <v>0.16300000000000001</v>
      </c>
      <c r="FB37">
        <v>1995</v>
      </c>
      <c r="FC37">
        <v>0.39100000000000001</v>
      </c>
      <c r="FD37">
        <v>0.114</v>
      </c>
      <c r="FE37">
        <v>0.27700000000000002</v>
      </c>
      <c r="FF37">
        <v>0.70299999999999996</v>
      </c>
      <c r="FG37" s="12">
        <v>2.3900000000000001E-7</v>
      </c>
      <c r="FH37">
        <v>1.17</v>
      </c>
      <c r="FI37">
        <v>0.88700000000000001</v>
      </c>
      <c r="FJ37">
        <v>1E-3</v>
      </c>
      <c r="FN37">
        <v>2005</v>
      </c>
      <c r="FO37">
        <v>-8.6999999999999994E-2</v>
      </c>
      <c r="FP37">
        <v>-0.433</v>
      </c>
      <c r="FQ37">
        <v>0.34499999999999997</v>
      </c>
      <c r="FR37">
        <v>0.70299999999999996</v>
      </c>
      <c r="FS37" s="12">
        <v>5.7299999999999999E-9</v>
      </c>
      <c r="FT37">
        <v>0.5</v>
      </c>
      <c r="FU37">
        <v>0.35399999999999998</v>
      </c>
      <c r="FV37">
        <v>1.6E-2</v>
      </c>
      <c r="FZ37">
        <v>2005</v>
      </c>
      <c r="GA37">
        <v>-2.617</v>
      </c>
      <c r="GB37">
        <v>-0.4</v>
      </c>
      <c r="GC37">
        <v>-2.2170000000000001</v>
      </c>
      <c r="GD37">
        <v>0.70299999999999996</v>
      </c>
      <c r="GE37" s="12">
        <v>3.4699999999999999E-10</v>
      </c>
      <c r="GF37">
        <v>5.0000000000000001E-3</v>
      </c>
      <c r="GG37">
        <v>4.7E-2</v>
      </c>
      <c r="GH37">
        <v>1.3080000000000001</v>
      </c>
    </row>
    <row r="38" spans="1:190">
      <c r="A38">
        <f t="shared" si="0"/>
        <v>2005</v>
      </c>
      <c r="B38">
        <v>0</v>
      </c>
      <c r="Z38">
        <v>1996</v>
      </c>
      <c r="AA38">
        <v>-0.43</v>
      </c>
      <c r="AB38">
        <v>0.14899999999999999</v>
      </c>
      <c r="AC38">
        <v>-0.57799999999999996</v>
      </c>
      <c r="AD38">
        <v>0.70299999999999996</v>
      </c>
      <c r="AE38" s="12">
        <v>2.5800000000000001E-7</v>
      </c>
      <c r="AF38">
        <v>0.52400000000000002</v>
      </c>
      <c r="AG38">
        <v>0.93500000000000005</v>
      </c>
      <c r="AH38">
        <v>0.49399999999999999</v>
      </c>
      <c r="DR38">
        <v>1997</v>
      </c>
      <c r="DS38">
        <v>-0.29499999999999998</v>
      </c>
      <c r="DT38">
        <v>-2E-3</v>
      </c>
      <c r="DU38">
        <v>-0.29299999999999998</v>
      </c>
      <c r="DV38">
        <v>0.70299999999999996</v>
      </c>
      <c r="DW38" s="12">
        <v>5.6500000000000001E-9</v>
      </c>
      <c r="DX38">
        <v>0.58599999999999997</v>
      </c>
      <c r="DY38">
        <v>0.78500000000000003</v>
      </c>
      <c r="DZ38">
        <v>0.27200000000000002</v>
      </c>
      <c r="FB38">
        <v>1996</v>
      </c>
      <c r="FC38">
        <v>0.251</v>
      </c>
      <c r="FD38">
        <v>0.14099999999999999</v>
      </c>
      <c r="FE38">
        <v>0.11</v>
      </c>
      <c r="FF38">
        <v>0.70299999999999996</v>
      </c>
      <c r="FG38" s="12">
        <v>2.3900000000000001E-7</v>
      </c>
      <c r="FH38">
        <v>1.0169999999999999</v>
      </c>
      <c r="FI38">
        <v>0.91100000000000003</v>
      </c>
      <c r="FJ38">
        <v>2.5999999999999999E-2</v>
      </c>
      <c r="FN38">
        <v>2006</v>
      </c>
      <c r="FO38">
        <v>9.5000000000000001E-2</v>
      </c>
      <c r="FP38">
        <v>-0.33200000000000002</v>
      </c>
      <c r="FQ38">
        <v>0.42699999999999999</v>
      </c>
      <c r="FR38">
        <v>0.70299999999999996</v>
      </c>
      <c r="FS38" s="12">
        <v>5.7299999999999999E-9</v>
      </c>
      <c r="FT38">
        <v>0.6</v>
      </c>
      <c r="FU38">
        <v>0.39100000000000001</v>
      </c>
      <c r="FV38">
        <v>6.0999999999999999E-2</v>
      </c>
      <c r="FZ38">
        <v>2006</v>
      </c>
      <c r="GA38">
        <v>-1.4810000000000001</v>
      </c>
      <c r="GB38">
        <v>-0.27500000000000002</v>
      </c>
      <c r="GC38">
        <v>-1.206</v>
      </c>
      <c r="GD38">
        <v>0.70299999999999996</v>
      </c>
      <c r="GE38" s="12">
        <v>3.4699999999999999E-10</v>
      </c>
      <c r="GF38">
        <v>1.6E-2</v>
      </c>
      <c r="GG38">
        <v>5.3999999999999999E-2</v>
      </c>
      <c r="GH38">
        <v>0.91700000000000004</v>
      </c>
    </row>
    <row r="39" spans="1:190">
      <c r="A39">
        <f t="shared" si="0"/>
        <v>2006</v>
      </c>
      <c r="B39">
        <v>0</v>
      </c>
      <c r="Z39">
        <v>1997</v>
      </c>
      <c r="AA39">
        <v>-0.63600000000000001</v>
      </c>
      <c r="AB39">
        <v>9.0999999999999998E-2</v>
      </c>
      <c r="AC39">
        <v>-0.72699999999999998</v>
      </c>
      <c r="AD39">
        <v>0.70299999999999996</v>
      </c>
      <c r="AE39" s="12">
        <v>2.5800000000000001E-7</v>
      </c>
      <c r="AF39">
        <v>0.42599999999999999</v>
      </c>
      <c r="AG39">
        <v>0.88300000000000001</v>
      </c>
      <c r="AH39">
        <v>0.60599999999999998</v>
      </c>
      <c r="DR39">
        <v>1998</v>
      </c>
      <c r="DS39">
        <v>-1.2609999999999999</v>
      </c>
      <c r="DT39">
        <v>-4.2000000000000003E-2</v>
      </c>
      <c r="DU39">
        <v>-1.2190000000000001</v>
      </c>
      <c r="DV39">
        <v>0.70299999999999996</v>
      </c>
      <c r="DW39" s="12">
        <v>5.6500000000000001E-9</v>
      </c>
      <c r="DX39">
        <v>0.223</v>
      </c>
      <c r="DY39">
        <v>0.755</v>
      </c>
      <c r="DZ39">
        <v>0.92400000000000004</v>
      </c>
      <c r="FB39">
        <v>1997</v>
      </c>
      <c r="FC39">
        <v>-1.7999999999999999E-2</v>
      </c>
      <c r="FD39">
        <v>8.3000000000000004E-2</v>
      </c>
      <c r="FE39">
        <v>-0.10100000000000001</v>
      </c>
      <c r="FF39">
        <v>0.70299999999999996</v>
      </c>
      <c r="FG39" s="12">
        <v>2.3900000000000001E-7</v>
      </c>
      <c r="FH39">
        <v>0.77800000000000002</v>
      </c>
      <c r="FI39">
        <v>0.86</v>
      </c>
      <c r="FJ39">
        <v>0.13500000000000001</v>
      </c>
    </row>
    <row r="40" spans="1:190">
      <c r="A40">
        <f t="shared" si="0"/>
        <v>2007</v>
      </c>
      <c r="B40">
        <v>0</v>
      </c>
      <c r="Z40">
        <v>1998</v>
      </c>
      <c r="AA40">
        <v>-0.47</v>
      </c>
      <c r="AB40">
        <v>-1.6E-2</v>
      </c>
      <c r="AC40">
        <v>-0.45400000000000001</v>
      </c>
      <c r="AD40">
        <v>0.70299999999999996</v>
      </c>
      <c r="AE40" s="12">
        <v>2.5800000000000001E-7</v>
      </c>
      <c r="AF40">
        <v>0.503</v>
      </c>
      <c r="AG40">
        <v>0.79300000000000004</v>
      </c>
      <c r="AH40">
        <v>0.39700000000000002</v>
      </c>
      <c r="DR40">
        <v>1999</v>
      </c>
      <c r="DS40">
        <v>-0.20799999999999999</v>
      </c>
      <c r="DT40">
        <v>-7.0000000000000007E-2</v>
      </c>
      <c r="DU40">
        <v>-0.13800000000000001</v>
      </c>
      <c r="DV40">
        <v>0.70299999999999996</v>
      </c>
      <c r="DW40" s="12">
        <v>5.6500000000000001E-9</v>
      </c>
      <c r="DX40">
        <v>0.63900000000000001</v>
      </c>
      <c r="DY40">
        <v>0.73299999999999998</v>
      </c>
      <c r="DZ40">
        <v>0.16</v>
      </c>
      <c r="FB40">
        <v>1998</v>
      </c>
      <c r="FC40">
        <v>-0.01</v>
      </c>
      <c r="FD40">
        <v>-1.6E-2</v>
      </c>
      <c r="FE40">
        <v>5.0000000000000001E-3</v>
      </c>
      <c r="FF40">
        <v>0.70299999999999996</v>
      </c>
      <c r="FG40" s="12">
        <v>2.3900000000000001E-7</v>
      </c>
      <c r="FH40">
        <v>0.78300000000000003</v>
      </c>
      <c r="FI40">
        <v>0.77900000000000003</v>
      </c>
      <c r="FJ40">
        <v>7.1999999999999995E-2</v>
      </c>
    </row>
    <row r="41" spans="1:190">
      <c r="A41">
        <f t="shared" si="0"/>
        <v>2008</v>
      </c>
      <c r="B41">
        <v>0</v>
      </c>
      <c r="Z41">
        <v>1999</v>
      </c>
      <c r="AA41">
        <v>-0.44</v>
      </c>
      <c r="AB41">
        <v>-2.1000000000000001E-2</v>
      </c>
      <c r="AC41">
        <v>-0.42</v>
      </c>
      <c r="AD41">
        <v>0.70299999999999996</v>
      </c>
      <c r="AE41" s="12">
        <v>2.5800000000000001E-7</v>
      </c>
      <c r="AF41">
        <v>0.51900000000000002</v>
      </c>
      <c r="AG41">
        <v>0.78900000000000003</v>
      </c>
      <c r="AH41">
        <v>0.37</v>
      </c>
      <c r="DR41">
        <v>2000</v>
      </c>
      <c r="DS41">
        <v>-0.96099999999999997</v>
      </c>
      <c r="DT41">
        <v>4.3999999999999997E-2</v>
      </c>
      <c r="DU41">
        <v>-1.0049999999999999</v>
      </c>
      <c r="DV41">
        <v>0.70299999999999996</v>
      </c>
      <c r="DW41" s="12">
        <v>5.6500000000000001E-9</v>
      </c>
      <c r="DX41">
        <v>0.30099999999999999</v>
      </c>
      <c r="DY41">
        <v>0.82199999999999995</v>
      </c>
      <c r="DZ41">
        <v>0.79700000000000004</v>
      </c>
      <c r="FB41">
        <v>1999</v>
      </c>
      <c r="FC41">
        <v>-0.315</v>
      </c>
      <c r="FD41">
        <v>-1.2E-2</v>
      </c>
      <c r="FE41">
        <v>-0.30299999999999999</v>
      </c>
      <c r="FF41">
        <v>0.70299999999999996</v>
      </c>
      <c r="FG41" s="12">
        <v>2.3900000000000001E-7</v>
      </c>
      <c r="FH41">
        <v>0.57799999999999996</v>
      </c>
      <c r="FI41">
        <v>0.78200000000000003</v>
      </c>
      <c r="FJ41">
        <v>0.28000000000000003</v>
      </c>
    </row>
    <row r="42" spans="1:190">
      <c r="A42">
        <f t="shared" si="0"/>
        <v>2009</v>
      </c>
      <c r="B42">
        <v>0</v>
      </c>
      <c r="Z42">
        <v>2000</v>
      </c>
      <c r="AA42">
        <v>-0.29599999999999999</v>
      </c>
      <c r="AB42">
        <v>3.5999999999999997E-2</v>
      </c>
      <c r="AC42">
        <v>-0.33300000000000002</v>
      </c>
      <c r="AD42">
        <v>0.70299999999999996</v>
      </c>
      <c r="AE42" s="12">
        <v>2.5800000000000001E-7</v>
      </c>
      <c r="AF42">
        <v>0.59899999999999998</v>
      </c>
      <c r="AG42">
        <v>0.83599999999999997</v>
      </c>
      <c r="AH42">
        <v>0.30299999999999999</v>
      </c>
      <c r="DR42">
        <v>2001</v>
      </c>
      <c r="DS42">
        <v>-0.49</v>
      </c>
      <c r="DT42">
        <v>-0.192</v>
      </c>
      <c r="DU42">
        <v>-0.29799999999999999</v>
      </c>
      <c r="DV42">
        <v>0.70299999999999996</v>
      </c>
      <c r="DW42" s="12">
        <v>5.6500000000000001E-9</v>
      </c>
      <c r="DX42">
        <v>0.48199999999999998</v>
      </c>
      <c r="DY42">
        <v>0.64900000000000002</v>
      </c>
      <c r="DZ42">
        <v>0.27600000000000002</v>
      </c>
      <c r="FB42">
        <v>2000</v>
      </c>
      <c r="FC42">
        <v>-2.3E-2</v>
      </c>
      <c r="FD42">
        <v>3.9E-2</v>
      </c>
      <c r="FE42">
        <v>-6.2E-2</v>
      </c>
      <c r="FF42">
        <v>0.70299999999999996</v>
      </c>
      <c r="FG42" s="12">
        <v>2.3900000000000001E-7</v>
      </c>
      <c r="FH42">
        <v>0.77300000000000002</v>
      </c>
      <c r="FI42">
        <v>0.82299999999999995</v>
      </c>
      <c r="FJ42">
        <v>0.111</v>
      </c>
    </row>
    <row r="43" spans="1:190">
      <c r="A43">
        <f t="shared" si="0"/>
        <v>2010</v>
      </c>
      <c r="B43">
        <v>0</v>
      </c>
      <c r="Z43">
        <v>2001</v>
      </c>
      <c r="AA43">
        <v>-0.70799999999999996</v>
      </c>
      <c r="AB43">
        <v>7.8E-2</v>
      </c>
      <c r="AC43">
        <v>-0.78600000000000003</v>
      </c>
      <c r="AD43">
        <v>0.70299999999999996</v>
      </c>
      <c r="AE43" s="12">
        <v>2.5800000000000001E-7</v>
      </c>
      <c r="AF43">
        <v>0.39700000000000002</v>
      </c>
      <c r="AG43">
        <v>0.872</v>
      </c>
      <c r="AH43">
        <v>0.64800000000000002</v>
      </c>
      <c r="DR43">
        <v>2002</v>
      </c>
      <c r="DS43">
        <v>-7.3999999999999996E-2</v>
      </c>
      <c r="DT43">
        <v>-0.246</v>
      </c>
      <c r="DU43">
        <v>0.17299999999999999</v>
      </c>
      <c r="DV43">
        <v>0.70299999999999996</v>
      </c>
      <c r="DW43" s="12">
        <v>5.6500000000000001E-9</v>
      </c>
      <c r="DX43">
        <v>0.73099999999999998</v>
      </c>
      <c r="DY43">
        <v>0.61499999999999999</v>
      </c>
      <c r="DZ43">
        <v>8.0000000000000002E-3</v>
      </c>
      <c r="FB43">
        <v>2001</v>
      </c>
      <c r="FC43">
        <v>-0.27700000000000002</v>
      </c>
      <c r="FD43">
        <v>7.0999999999999994E-2</v>
      </c>
      <c r="FE43">
        <v>-0.34799999999999998</v>
      </c>
      <c r="FF43">
        <v>0.70299999999999996</v>
      </c>
      <c r="FG43" s="12">
        <v>2.3900000000000001E-7</v>
      </c>
      <c r="FH43">
        <v>0.6</v>
      </c>
      <c r="FI43">
        <v>0.85</v>
      </c>
      <c r="FJ43">
        <v>0.314</v>
      </c>
    </row>
    <row r="44" spans="1:190">
      <c r="A44">
        <f t="shared" si="0"/>
        <v>2011</v>
      </c>
      <c r="B44">
        <v>0</v>
      </c>
      <c r="Z44">
        <v>2002</v>
      </c>
      <c r="AA44">
        <v>-0.70799999999999996</v>
      </c>
      <c r="AB44">
        <v>-6.7000000000000004E-2</v>
      </c>
      <c r="AC44">
        <v>-0.64100000000000001</v>
      </c>
      <c r="AD44">
        <v>0.70299999999999996</v>
      </c>
      <c r="AE44" s="12">
        <v>2.5800000000000001E-7</v>
      </c>
      <c r="AF44">
        <v>0.39700000000000002</v>
      </c>
      <c r="AG44">
        <v>0.754</v>
      </c>
      <c r="AH44">
        <v>0.54200000000000004</v>
      </c>
      <c r="DR44">
        <v>2003</v>
      </c>
      <c r="DS44">
        <v>5.8999999999999997E-2</v>
      </c>
      <c r="DT44">
        <v>-0.35899999999999999</v>
      </c>
      <c r="DU44">
        <v>0.41899999999999998</v>
      </c>
      <c r="DV44">
        <v>0.70299999999999996</v>
      </c>
      <c r="DW44" s="12">
        <v>5.6500000000000001E-9</v>
      </c>
      <c r="DX44">
        <v>0.83499999999999996</v>
      </c>
      <c r="DY44">
        <v>0.54900000000000004</v>
      </c>
      <c r="DZ44">
        <v>5.5E-2</v>
      </c>
      <c r="FB44">
        <v>2002</v>
      </c>
      <c r="FC44">
        <v>-0.10100000000000001</v>
      </c>
      <c r="FD44">
        <v>-7.4999999999999997E-2</v>
      </c>
      <c r="FE44">
        <v>-2.5999999999999999E-2</v>
      </c>
      <c r="FF44">
        <v>0.70299999999999996</v>
      </c>
      <c r="FG44" s="12">
        <v>2.3900000000000001E-7</v>
      </c>
      <c r="FH44">
        <v>0.71499999999999997</v>
      </c>
      <c r="FI44">
        <v>0.73499999999999999</v>
      </c>
      <c r="FJ44">
        <v>0.09</v>
      </c>
    </row>
    <row r="45" spans="1:190">
      <c r="A45">
        <f t="shared" si="0"/>
        <v>2012</v>
      </c>
      <c r="B45">
        <v>0</v>
      </c>
      <c r="Z45">
        <v>2003</v>
      </c>
      <c r="AA45">
        <v>-0.53300000000000003</v>
      </c>
      <c r="AB45">
        <v>-0.24</v>
      </c>
      <c r="AC45">
        <v>-0.29199999999999998</v>
      </c>
      <c r="AD45">
        <v>0.70299999999999996</v>
      </c>
      <c r="AE45" s="12">
        <v>2.5800000000000001E-7</v>
      </c>
      <c r="AF45">
        <v>0.47299999999999998</v>
      </c>
      <c r="AG45">
        <v>0.63400000000000001</v>
      </c>
      <c r="AH45">
        <v>0.27200000000000002</v>
      </c>
      <c r="DR45">
        <v>2004</v>
      </c>
      <c r="DS45">
        <v>-0.21299999999999999</v>
      </c>
      <c r="DT45">
        <v>-0.45200000000000001</v>
      </c>
      <c r="DU45">
        <v>0.24</v>
      </c>
      <c r="DV45">
        <v>0.70299999999999996</v>
      </c>
      <c r="DW45" s="12">
        <v>5.6500000000000001E-9</v>
      </c>
      <c r="DX45">
        <v>0.63600000000000001</v>
      </c>
      <c r="DY45">
        <v>0.501</v>
      </c>
      <c r="DZ45">
        <v>0</v>
      </c>
      <c r="FB45">
        <v>2003</v>
      </c>
      <c r="FC45">
        <v>-9.6000000000000002E-2</v>
      </c>
      <c r="FD45">
        <v>-0.24299999999999999</v>
      </c>
      <c r="FE45">
        <v>0.14699999999999999</v>
      </c>
      <c r="FF45">
        <v>0.70299999999999996</v>
      </c>
      <c r="FG45" s="12">
        <v>2.3900000000000001E-7</v>
      </c>
      <c r="FH45">
        <v>0.71899999999999997</v>
      </c>
      <c r="FI45">
        <v>0.621</v>
      </c>
      <c r="FJ45">
        <v>1.4E-2</v>
      </c>
    </row>
    <row r="46" spans="1:190">
      <c r="A46">
        <f t="shared" ref="A46:A100" si="1">A45+1</f>
        <v>2013</v>
      </c>
      <c r="B46">
        <v>0</v>
      </c>
      <c r="Z46">
        <v>2004</v>
      </c>
      <c r="AA46">
        <v>-0.29799999999999999</v>
      </c>
      <c r="AB46">
        <v>-0.33400000000000002</v>
      </c>
      <c r="AC46">
        <v>3.5999999999999997E-2</v>
      </c>
      <c r="AD46">
        <v>0.70299999999999996</v>
      </c>
      <c r="AE46" s="12">
        <v>2.5800000000000001E-7</v>
      </c>
      <c r="AF46">
        <v>0.59799999999999998</v>
      </c>
      <c r="AG46">
        <v>0.57699999999999996</v>
      </c>
      <c r="AH46">
        <v>5.7000000000000002E-2</v>
      </c>
      <c r="DR46">
        <v>2005</v>
      </c>
      <c r="DS46">
        <v>-0.41599999999999998</v>
      </c>
      <c r="DT46">
        <v>-0.35599999999999998</v>
      </c>
      <c r="DU46">
        <v>-6.0999999999999999E-2</v>
      </c>
      <c r="DV46">
        <v>0.70299999999999996</v>
      </c>
      <c r="DW46" s="12">
        <v>5.6500000000000001E-9</v>
      </c>
      <c r="DX46">
        <v>0.51900000000000002</v>
      </c>
      <c r="DY46">
        <v>0.55100000000000005</v>
      </c>
      <c r="DZ46">
        <v>0.11</v>
      </c>
      <c r="FB46">
        <v>2004</v>
      </c>
      <c r="FC46">
        <v>-9.9000000000000005E-2</v>
      </c>
      <c r="FD46">
        <v>-0.33400000000000002</v>
      </c>
      <c r="FE46">
        <v>0.23400000000000001</v>
      </c>
      <c r="FF46">
        <v>0.70299999999999996</v>
      </c>
      <c r="FG46" s="12">
        <v>2.3900000000000001E-7</v>
      </c>
      <c r="FH46">
        <v>0.71699999999999997</v>
      </c>
      <c r="FI46">
        <v>0.56699999999999995</v>
      </c>
      <c r="FJ46">
        <v>0</v>
      </c>
    </row>
    <row r="47" spans="1:190">
      <c r="A47">
        <f t="shared" si="1"/>
        <v>2014</v>
      </c>
      <c r="B47">
        <v>0</v>
      </c>
      <c r="Z47">
        <v>2005</v>
      </c>
      <c r="AA47">
        <v>-0.61399999999999999</v>
      </c>
      <c r="AB47">
        <v>-0.40400000000000003</v>
      </c>
      <c r="AC47">
        <v>-0.21</v>
      </c>
      <c r="AD47">
        <v>0.70299999999999996</v>
      </c>
      <c r="AE47" s="12">
        <v>2.5800000000000001E-7</v>
      </c>
      <c r="AF47">
        <v>0.436</v>
      </c>
      <c r="AG47">
        <v>0.53800000000000003</v>
      </c>
      <c r="AH47">
        <v>0.21099999999999999</v>
      </c>
      <c r="DR47">
        <v>2006</v>
      </c>
      <c r="DS47">
        <v>-0.29099999999999998</v>
      </c>
      <c r="DT47">
        <v>-0.189</v>
      </c>
      <c r="DU47">
        <v>-0.10199999999999999</v>
      </c>
      <c r="DV47">
        <v>0.70299999999999996</v>
      </c>
      <c r="DW47" s="12">
        <v>5.6500000000000001E-9</v>
      </c>
      <c r="DX47">
        <v>0.58799999999999997</v>
      </c>
      <c r="DY47">
        <v>0.65100000000000002</v>
      </c>
      <c r="DZ47">
        <v>0.13600000000000001</v>
      </c>
      <c r="FB47">
        <v>2005</v>
      </c>
      <c r="FC47">
        <v>0.108</v>
      </c>
      <c r="FD47">
        <v>-0.39300000000000002</v>
      </c>
      <c r="FE47">
        <v>0.501</v>
      </c>
      <c r="FF47">
        <v>0.70299999999999996</v>
      </c>
      <c r="FG47" s="12">
        <v>2.3900000000000001E-7</v>
      </c>
      <c r="FH47">
        <v>0.88200000000000001</v>
      </c>
      <c r="FI47">
        <v>0.53500000000000003</v>
      </c>
      <c r="FJ47">
        <v>0.13</v>
      </c>
    </row>
    <row r="48" spans="1:190">
      <c r="A48">
        <f t="shared" si="1"/>
        <v>2015</v>
      </c>
      <c r="B48">
        <v>0</v>
      </c>
      <c r="Z48">
        <v>2006</v>
      </c>
      <c r="AA48">
        <v>-0.22600000000000001</v>
      </c>
      <c r="AB48">
        <v>-0.28699999999999998</v>
      </c>
      <c r="AC48">
        <v>6.0999999999999999E-2</v>
      </c>
      <c r="AD48">
        <v>0.70299999999999996</v>
      </c>
      <c r="AE48" s="12">
        <v>2.5800000000000001E-7</v>
      </c>
      <c r="AF48">
        <v>0.64300000000000002</v>
      </c>
      <c r="AG48">
        <v>0.60399999999999998</v>
      </c>
      <c r="AH48">
        <v>4.4999999999999998E-2</v>
      </c>
      <c r="FB48">
        <v>2006</v>
      </c>
      <c r="FC48">
        <v>-0.20100000000000001</v>
      </c>
      <c r="FD48">
        <v>-0.27900000000000003</v>
      </c>
      <c r="FE48">
        <v>7.8E-2</v>
      </c>
      <c r="FF48">
        <v>0.70299999999999996</v>
      </c>
      <c r="FG48" s="12">
        <v>2.3900000000000001E-7</v>
      </c>
      <c r="FH48">
        <v>0.64700000000000002</v>
      </c>
      <c r="FI48">
        <v>0.59899999999999998</v>
      </c>
      <c r="FJ48">
        <v>3.7999999999999999E-2</v>
      </c>
    </row>
    <row r="49" spans="1:2">
      <c r="A49">
        <f t="shared" si="1"/>
        <v>2016</v>
      </c>
      <c r="B49">
        <v>0</v>
      </c>
    </row>
    <row r="50" spans="1:2">
      <c r="A50">
        <f t="shared" si="1"/>
        <v>2017</v>
      </c>
      <c r="B50">
        <v>0</v>
      </c>
    </row>
    <row r="51" spans="1:2">
      <c r="A51">
        <f t="shared" si="1"/>
        <v>2018</v>
      </c>
      <c r="B51">
        <v>0</v>
      </c>
    </row>
    <row r="52" spans="1:2">
      <c r="A52">
        <f t="shared" si="1"/>
        <v>2019</v>
      </c>
      <c r="B52">
        <v>0</v>
      </c>
    </row>
    <row r="53" spans="1:2">
      <c r="A53">
        <f t="shared" si="1"/>
        <v>2020</v>
      </c>
      <c r="B53">
        <v>0</v>
      </c>
    </row>
    <row r="54" spans="1:2">
      <c r="A54">
        <f t="shared" si="1"/>
        <v>2021</v>
      </c>
      <c r="B54">
        <v>0</v>
      </c>
    </row>
    <row r="55" spans="1:2">
      <c r="A55">
        <f t="shared" si="1"/>
        <v>2022</v>
      </c>
      <c r="B55">
        <v>0</v>
      </c>
    </row>
    <row r="56" spans="1:2">
      <c r="A56">
        <f t="shared" si="1"/>
        <v>2023</v>
      </c>
      <c r="B56">
        <v>0</v>
      </c>
    </row>
    <row r="57" spans="1:2">
      <c r="A57">
        <f t="shared" si="1"/>
        <v>2024</v>
      </c>
      <c r="B57">
        <v>0</v>
      </c>
    </row>
    <row r="58" spans="1:2">
      <c r="A58">
        <f t="shared" si="1"/>
        <v>2025</v>
      </c>
      <c r="B58">
        <v>0</v>
      </c>
    </row>
    <row r="59" spans="1:2">
      <c r="A59">
        <f t="shared" si="1"/>
        <v>2026</v>
      </c>
      <c r="B59">
        <v>0</v>
      </c>
    </row>
    <row r="60" spans="1:2">
      <c r="A60">
        <f t="shared" si="1"/>
        <v>2027</v>
      </c>
      <c r="B60">
        <v>0</v>
      </c>
    </row>
    <row r="61" spans="1:2">
      <c r="A61">
        <f t="shared" si="1"/>
        <v>2028</v>
      </c>
      <c r="B61">
        <v>0</v>
      </c>
    </row>
    <row r="62" spans="1:2">
      <c r="A62">
        <f t="shared" si="1"/>
        <v>2029</v>
      </c>
      <c r="B62">
        <v>0</v>
      </c>
    </row>
    <row r="63" spans="1:2">
      <c r="A63">
        <f t="shared" si="1"/>
        <v>2030</v>
      </c>
      <c r="B63">
        <v>0</v>
      </c>
    </row>
    <row r="64" spans="1:2">
      <c r="A64">
        <f t="shared" si="1"/>
        <v>2031</v>
      </c>
      <c r="B64">
        <v>0</v>
      </c>
    </row>
    <row r="65" spans="1:2">
      <c r="A65">
        <f t="shared" si="1"/>
        <v>2032</v>
      </c>
      <c r="B65">
        <v>0</v>
      </c>
    </row>
    <row r="66" spans="1:2">
      <c r="A66">
        <f t="shared" si="1"/>
        <v>2033</v>
      </c>
      <c r="B66">
        <v>0</v>
      </c>
    </row>
    <row r="67" spans="1:2">
      <c r="A67">
        <f t="shared" si="1"/>
        <v>2034</v>
      </c>
      <c r="B67">
        <v>0</v>
      </c>
    </row>
    <row r="68" spans="1:2">
      <c r="A68">
        <f t="shared" si="1"/>
        <v>2035</v>
      </c>
      <c r="B68">
        <v>0</v>
      </c>
    </row>
    <row r="69" spans="1:2">
      <c r="A69">
        <f t="shared" si="1"/>
        <v>2036</v>
      </c>
      <c r="B69">
        <v>0</v>
      </c>
    </row>
    <row r="70" spans="1:2">
      <c r="A70">
        <f t="shared" si="1"/>
        <v>2037</v>
      </c>
      <c r="B70">
        <v>0</v>
      </c>
    </row>
    <row r="71" spans="1:2">
      <c r="A71">
        <f t="shared" si="1"/>
        <v>2038</v>
      </c>
      <c r="B71">
        <v>0</v>
      </c>
    </row>
    <row r="72" spans="1:2">
      <c r="A72">
        <f t="shared" si="1"/>
        <v>2039</v>
      </c>
      <c r="B72">
        <v>0</v>
      </c>
    </row>
    <row r="73" spans="1:2">
      <c r="A73">
        <f t="shared" si="1"/>
        <v>2040</v>
      </c>
      <c r="B73">
        <v>0</v>
      </c>
    </row>
    <row r="74" spans="1:2">
      <c r="A74">
        <f t="shared" si="1"/>
        <v>2041</v>
      </c>
      <c r="B74">
        <v>0</v>
      </c>
    </row>
    <row r="75" spans="1:2">
      <c r="A75">
        <f t="shared" si="1"/>
        <v>2042</v>
      </c>
      <c r="B75">
        <v>0</v>
      </c>
    </row>
    <row r="76" spans="1:2">
      <c r="A76">
        <f t="shared" si="1"/>
        <v>2043</v>
      </c>
      <c r="B76">
        <v>0</v>
      </c>
    </row>
    <row r="77" spans="1:2">
      <c r="A77">
        <f t="shared" si="1"/>
        <v>2044</v>
      </c>
      <c r="B77">
        <v>0</v>
      </c>
    </row>
    <row r="78" spans="1:2">
      <c r="A78">
        <f t="shared" si="1"/>
        <v>2045</v>
      </c>
      <c r="B78">
        <v>0</v>
      </c>
    </row>
    <row r="79" spans="1:2">
      <c r="A79">
        <f t="shared" si="1"/>
        <v>2046</v>
      </c>
      <c r="B79">
        <v>0</v>
      </c>
    </row>
    <row r="80" spans="1:2">
      <c r="A80">
        <f t="shared" si="1"/>
        <v>2047</v>
      </c>
      <c r="B80">
        <v>0</v>
      </c>
    </row>
    <row r="81" spans="1:2">
      <c r="A81">
        <f t="shared" si="1"/>
        <v>2048</v>
      </c>
      <c r="B81">
        <v>0</v>
      </c>
    </row>
    <row r="82" spans="1:2">
      <c r="A82">
        <f t="shared" si="1"/>
        <v>2049</v>
      </c>
      <c r="B82">
        <v>0</v>
      </c>
    </row>
    <row r="83" spans="1:2">
      <c r="A83">
        <f t="shared" si="1"/>
        <v>2050</v>
      </c>
      <c r="B83">
        <v>0</v>
      </c>
    </row>
    <row r="84" spans="1:2">
      <c r="A84">
        <f t="shared" si="1"/>
        <v>2051</v>
      </c>
      <c r="B84">
        <v>0</v>
      </c>
    </row>
    <row r="85" spans="1:2">
      <c r="A85">
        <f t="shared" si="1"/>
        <v>2052</v>
      </c>
      <c r="B85">
        <v>0</v>
      </c>
    </row>
    <row r="86" spans="1:2">
      <c r="A86">
        <f t="shared" si="1"/>
        <v>2053</v>
      </c>
      <c r="B86">
        <v>0</v>
      </c>
    </row>
    <row r="87" spans="1:2">
      <c r="A87">
        <f t="shared" si="1"/>
        <v>2054</v>
      </c>
      <c r="B87">
        <v>0</v>
      </c>
    </row>
    <row r="88" spans="1:2">
      <c r="A88">
        <f t="shared" si="1"/>
        <v>2055</v>
      </c>
      <c r="B88">
        <v>0</v>
      </c>
    </row>
    <row r="89" spans="1:2">
      <c r="A89">
        <f t="shared" si="1"/>
        <v>2056</v>
      </c>
      <c r="B89">
        <v>0</v>
      </c>
    </row>
    <row r="90" spans="1:2">
      <c r="A90">
        <f t="shared" si="1"/>
        <v>2057</v>
      </c>
      <c r="B90">
        <v>0</v>
      </c>
    </row>
    <row r="91" spans="1:2">
      <c r="A91">
        <f t="shared" si="1"/>
        <v>2058</v>
      </c>
      <c r="B91">
        <v>0</v>
      </c>
    </row>
    <row r="92" spans="1:2">
      <c r="A92">
        <f t="shared" si="1"/>
        <v>2059</v>
      </c>
      <c r="B92">
        <v>0</v>
      </c>
    </row>
    <row r="93" spans="1:2">
      <c r="A93">
        <f t="shared" si="1"/>
        <v>2060</v>
      </c>
      <c r="B93">
        <v>0</v>
      </c>
    </row>
    <row r="94" spans="1:2">
      <c r="A94">
        <f t="shared" si="1"/>
        <v>2061</v>
      </c>
      <c r="B94">
        <v>0</v>
      </c>
    </row>
    <row r="95" spans="1:2">
      <c r="A95">
        <f t="shared" si="1"/>
        <v>2062</v>
      </c>
      <c r="B95">
        <v>0</v>
      </c>
    </row>
    <row r="96" spans="1:2">
      <c r="A96">
        <f t="shared" si="1"/>
        <v>2063</v>
      </c>
      <c r="B96">
        <v>0</v>
      </c>
    </row>
    <row r="97" spans="1:2">
      <c r="A97">
        <f t="shared" si="1"/>
        <v>2064</v>
      </c>
      <c r="B97">
        <v>0</v>
      </c>
    </row>
    <row r="98" spans="1:2">
      <c r="A98">
        <f t="shared" si="1"/>
        <v>2065</v>
      </c>
      <c r="B98">
        <v>0</v>
      </c>
    </row>
    <row r="99" spans="1:2">
      <c r="A99">
        <f t="shared" si="1"/>
        <v>2066</v>
      </c>
      <c r="B99">
        <v>0</v>
      </c>
    </row>
    <row r="100" spans="1:2">
      <c r="A100">
        <f t="shared" si="1"/>
        <v>2067</v>
      </c>
      <c r="B100">
        <v>0</v>
      </c>
    </row>
  </sheetData>
  <phoneticPr fontId="1" type="noConversion"/>
  <pageMargins left="0.75" right="0.75" top="1" bottom="1" header="0.5" footer="0.5"/>
  <pageSetup paperSize="17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I949"/>
  <sheetViews>
    <sheetView zoomScale="60" zoomScaleNormal="60" workbookViewId="0">
      <selection sqref="A1:XFD1048576"/>
    </sheetView>
  </sheetViews>
  <sheetFormatPr defaultRowHeight="12.75"/>
  <cols>
    <col min="1" max="1" width="19.28515625" customWidth="1"/>
  </cols>
  <sheetData>
    <row r="1" spans="1:9">
      <c r="A1" t="str">
        <f>'Titles and Variables'!C16</f>
        <v>BRA_BB</v>
      </c>
      <c r="B1" t="s">
        <v>61</v>
      </c>
      <c r="I1" s="6" t="s">
        <v>125</v>
      </c>
    </row>
    <row r="2" spans="1:9">
      <c r="A2" t="s">
        <v>70</v>
      </c>
      <c r="B2" t="s">
        <v>71</v>
      </c>
      <c r="C2" t="s">
        <v>72</v>
      </c>
    </row>
    <row r="3" spans="1:9">
      <c r="A3" t="s">
        <v>68</v>
      </c>
      <c r="B3">
        <v>0</v>
      </c>
      <c r="C3">
        <v>1</v>
      </c>
      <c r="D3">
        <v>2</v>
      </c>
      <c r="E3">
        <v>3</v>
      </c>
      <c r="F3">
        <v>4</v>
      </c>
    </row>
    <row r="4" spans="1:9">
      <c r="A4" t="s">
        <v>69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</row>
    <row r="5" spans="1:9">
      <c r="A5">
        <v>1981</v>
      </c>
      <c r="B5">
        <v>6.0000000000000001E-3</v>
      </c>
      <c r="C5">
        <v>0.57999999999999996</v>
      </c>
      <c r="D5">
        <v>1</v>
      </c>
      <c r="E5">
        <v>0.216</v>
      </c>
      <c r="F5">
        <v>1.6E-2</v>
      </c>
    </row>
    <row r="6" spans="1:9">
      <c r="A6">
        <v>1982</v>
      </c>
      <c r="B6">
        <v>6.0000000000000001E-3</v>
      </c>
      <c r="C6">
        <v>0.57999999999999996</v>
      </c>
      <c r="D6">
        <v>1</v>
      </c>
      <c r="E6">
        <v>0.216</v>
      </c>
      <c r="F6">
        <v>1.6E-2</v>
      </c>
    </row>
    <row r="7" spans="1:9">
      <c r="A7">
        <v>1983</v>
      </c>
      <c r="B7">
        <v>6.0000000000000001E-3</v>
      </c>
      <c r="C7">
        <v>0.57999999999999996</v>
      </c>
      <c r="D7">
        <v>1</v>
      </c>
      <c r="E7">
        <v>0.216</v>
      </c>
      <c r="F7">
        <v>1.6E-2</v>
      </c>
    </row>
    <row r="8" spans="1:9">
      <c r="A8">
        <v>1984</v>
      </c>
      <c r="B8">
        <v>6.0000000000000001E-3</v>
      </c>
      <c r="C8">
        <v>0.57999999999999996</v>
      </c>
      <c r="D8">
        <v>1</v>
      </c>
      <c r="E8">
        <v>0.216</v>
      </c>
      <c r="F8">
        <v>1.6E-2</v>
      </c>
    </row>
    <row r="9" spans="1:9">
      <c r="A9">
        <v>1985</v>
      </c>
      <c r="B9">
        <v>6.0000000000000001E-3</v>
      </c>
      <c r="C9">
        <v>0.57999999999999996</v>
      </c>
      <c r="D9">
        <v>1</v>
      </c>
      <c r="E9">
        <v>0.216</v>
      </c>
      <c r="F9">
        <v>1.6E-2</v>
      </c>
    </row>
    <row r="10" spans="1:9">
      <c r="A10">
        <v>1986</v>
      </c>
      <c r="B10">
        <v>6.0000000000000001E-3</v>
      </c>
      <c r="C10">
        <v>0.57999999999999996</v>
      </c>
      <c r="D10">
        <v>1</v>
      </c>
      <c r="E10">
        <v>0.216</v>
      </c>
      <c r="F10">
        <v>1.6E-2</v>
      </c>
    </row>
    <row r="11" spans="1:9">
      <c r="A11">
        <v>1987</v>
      </c>
      <c r="B11">
        <v>6.0000000000000001E-3</v>
      </c>
      <c r="C11">
        <v>0.57999999999999996</v>
      </c>
      <c r="D11">
        <v>1</v>
      </c>
      <c r="E11">
        <v>0.216</v>
      </c>
      <c r="F11">
        <v>1.6E-2</v>
      </c>
    </row>
    <row r="12" spans="1:9">
      <c r="A12">
        <v>1988</v>
      </c>
      <c r="B12">
        <v>6.0000000000000001E-3</v>
      </c>
      <c r="C12">
        <v>0.57999999999999996</v>
      </c>
      <c r="D12">
        <v>1</v>
      </c>
      <c r="E12">
        <v>0.216</v>
      </c>
      <c r="F12">
        <v>1.6E-2</v>
      </c>
    </row>
    <row r="13" spans="1:9">
      <c r="A13">
        <v>1989</v>
      </c>
      <c r="B13">
        <v>6.0000000000000001E-3</v>
      </c>
      <c r="C13">
        <v>0.57999999999999996</v>
      </c>
      <c r="D13">
        <v>1</v>
      </c>
      <c r="E13">
        <v>0.216</v>
      </c>
      <c r="F13">
        <v>1.6E-2</v>
      </c>
    </row>
    <row r="14" spans="1:9">
      <c r="A14">
        <v>1990</v>
      </c>
      <c r="B14">
        <v>6.0000000000000001E-3</v>
      </c>
      <c r="C14">
        <v>0.57999999999999996</v>
      </c>
      <c r="D14">
        <v>1</v>
      </c>
      <c r="E14">
        <v>0.216</v>
      </c>
      <c r="F14">
        <v>1.6E-2</v>
      </c>
    </row>
    <row r="15" spans="1:9">
      <c r="A15">
        <v>1991</v>
      </c>
      <c r="B15">
        <v>6.0000000000000001E-3</v>
      </c>
      <c r="C15">
        <v>0.57999999999999996</v>
      </c>
      <c r="D15">
        <v>1</v>
      </c>
      <c r="E15">
        <v>0.216</v>
      </c>
      <c r="F15">
        <v>1.6E-2</v>
      </c>
    </row>
    <row r="16" spans="1:9">
      <c r="A16">
        <v>1992</v>
      </c>
      <c r="B16">
        <v>6.0000000000000001E-3</v>
      </c>
      <c r="C16">
        <v>0.57999999999999996</v>
      </c>
      <c r="D16">
        <v>1</v>
      </c>
      <c r="E16">
        <v>0.216</v>
      </c>
      <c r="F16">
        <v>1.6E-2</v>
      </c>
    </row>
    <row r="17" spans="1:6">
      <c r="A17">
        <v>1993</v>
      </c>
      <c r="B17">
        <v>6.0000000000000001E-3</v>
      </c>
      <c r="C17">
        <v>0.57999999999999996</v>
      </c>
      <c r="D17">
        <v>1</v>
      </c>
      <c r="E17">
        <v>0.216</v>
      </c>
      <c r="F17">
        <v>1.6E-2</v>
      </c>
    </row>
    <row r="18" spans="1:6">
      <c r="A18">
        <v>1994</v>
      </c>
      <c r="B18">
        <v>6.0000000000000001E-3</v>
      </c>
      <c r="C18">
        <v>0.57999999999999996</v>
      </c>
      <c r="D18">
        <v>1</v>
      </c>
      <c r="E18">
        <v>0.216</v>
      </c>
      <c r="F18">
        <v>1.6E-2</v>
      </c>
    </row>
    <row r="19" spans="1:6">
      <c r="A19">
        <v>1995</v>
      </c>
      <c r="B19">
        <v>6.0000000000000001E-3</v>
      </c>
      <c r="C19">
        <v>0.57999999999999996</v>
      </c>
      <c r="D19">
        <v>1</v>
      </c>
      <c r="E19">
        <v>0.216</v>
      </c>
      <c r="F19">
        <v>1.6E-2</v>
      </c>
    </row>
    <row r="20" spans="1:6">
      <c r="A20">
        <v>1996</v>
      </c>
      <c r="B20">
        <v>6.0000000000000001E-3</v>
      </c>
      <c r="C20">
        <v>0.57999999999999996</v>
      </c>
      <c r="D20">
        <v>1</v>
      </c>
      <c r="E20">
        <v>0.216</v>
      </c>
      <c r="F20">
        <v>1.6E-2</v>
      </c>
    </row>
    <row r="21" spans="1:6">
      <c r="A21">
        <v>1997</v>
      </c>
      <c r="B21">
        <v>6.0000000000000001E-3</v>
      </c>
      <c r="C21">
        <v>0.57999999999999996</v>
      </c>
      <c r="D21">
        <v>1</v>
      </c>
      <c r="E21">
        <v>0.216</v>
      </c>
      <c r="F21">
        <v>1.6E-2</v>
      </c>
    </row>
    <row r="22" spans="1:6">
      <c r="A22">
        <v>1998</v>
      </c>
      <c r="B22">
        <v>6.0000000000000001E-3</v>
      </c>
      <c r="C22">
        <v>0.57999999999999996</v>
      </c>
      <c r="D22">
        <v>1</v>
      </c>
      <c r="E22">
        <v>0.216</v>
      </c>
      <c r="F22">
        <v>1.6E-2</v>
      </c>
    </row>
    <row r="23" spans="1:6">
      <c r="A23">
        <v>1999</v>
      </c>
      <c r="B23">
        <v>6.0000000000000001E-3</v>
      </c>
      <c r="C23">
        <v>0.57999999999999996</v>
      </c>
      <c r="D23">
        <v>1</v>
      </c>
      <c r="E23">
        <v>0.216</v>
      </c>
      <c r="F23">
        <v>1.6E-2</v>
      </c>
    </row>
    <row r="24" spans="1:6">
      <c r="A24">
        <v>2001</v>
      </c>
      <c r="B24">
        <v>6.0000000000000001E-3</v>
      </c>
      <c r="C24">
        <v>0.57999999999999996</v>
      </c>
      <c r="D24">
        <v>1</v>
      </c>
      <c r="E24">
        <v>0.216</v>
      </c>
      <c r="F24">
        <v>1.6E-2</v>
      </c>
    </row>
    <row r="25" spans="1:6">
      <c r="A25">
        <v>2002</v>
      </c>
      <c r="B25">
        <v>6.0000000000000001E-3</v>
      </c>
      <c r="C25">
        <v>0.57999999999999996</v>
      </c>
      <c r="D25">
        <v>1</v>
      </c>
      <c r="E25">
        <v>0.216</v>
      </c>
      <c r="F25">
        <v>1.6E-2</v>
      </c>
    </row>
    <row r="26" spans="1:6">
      <c r="A26">
        <v>2003</v>
      </c>
      <c r="B26">
        <v>6.0000000000000001E-3</v>
      </c>
      <c r="C26">
        <v>0.57999999999999996</v>
      </c>
      <c r="D26">
        <v>1</v>
      </c>
      <c r="E26">
        <v>0.216</v>
      </c>
      <c r="F26">
        <v>1.6E-2</v>
      </c>
    </row>
    <row r="27" spans="1:6">
      <c r="A27">
        <v>2004</v>
      </c>
      <c r="B27">
        <v>6.0000000000000001E-3</v>
      </c>
      <c r="C27">
        <v>0.57999999999999996</v>
      </c>
      <c r="D27">
        <v>1</v>
      </c>
      <c r="E27">
        <v>0.216</v>
      </c>
      <c r="F27">
        <v>1.6E-2</v>
      </c>
    </row>
    <row r="28" spans="1:6">
      <c r="A28">
        <v>2005</v>
      </c>
      <c r="B28">
        <v>6.0000000000000001E-3</v>
      </c>
      <c r="C28">
        <v>0.57999999999999996</v>
      </c>
      <c r="D28">
        <v>1</v>
      </c>
      <c r="E28">
        <v>0.216</v>
      </c>
      <c r="F28">
        <v>1.6E-2</v>
      </c>
    </row>
    <row r="29" spans="1:6">
      <c r="A29">
        <v>2006</v>
      </c>
      <c r="B29">
        <v>6.0000000000000001E-3</v>
      </c>
      <c r="C29">
        <v>0.57999999999999996</v>
      </c>
      <c r="D29">
        <v>1</v>
      </c>
      <c r="E29">
        <v>0.216</v>
      </c>
      <c r="F29">
        <v>1.6E-2</v>
      </c>
    </row>
    <row r="49" spans="1:7">
      <c r="A49" t="str">
        <f>'Titles and Variables'!C17</f>
        <v>BRA_LL</v>
      </c>
      <c r="B49" t="s">
        <v>61</v>
      </c>
    </row>
    <row r="50" spans="1:7">
      <c r="A50" t="s">
        <v>70</v>
      </c>
      <c r="B50" t="s">
        <v>71</v>
      </c>
      <c r="C50" t="s">
        <v>72</v>
      </c>
    </row>
    <row r="51" spans="1:7">
      <c r="A51" t="s">
        <v>68</v>
      </c>
      <c r="B51">
        <v>0</v>
      </c>
      <c r="C51">
        <v>1</v>
      </c>
      <c r="D51">
        <v>2</v>
      </c>
      <c r="E51">
        <v>3</v>
      </c>
      <c r="F51">
        <v>4</v>
      </c>
      <c r="G51">
        <v>5</v>
      </c>
    </row>
    <row r="52" spans="1:7">
      <c r="A52" t="s">
        <v>69</v>
      </c>
      <c r="B52" t="s">
        <v>73</v>
      </c>
      <c r="C52" t="s">
        <v>73</v>
      </c>
      <c r="D52" t="s">
        <v>73</v>
      </c>
      <c r="E52" t="s">
        <v>73</v>
      </c>
      <c r="F52" t="s">
        <v>73</v>
      </c>
      <c r="G52" t="s">
        <v>73</v>
      </c>
    </row>
    <row r="53" spans="1:7">
      <c r="A53">
        <v>1986</v>
      </c>
      <c r="B53">
        <v>1.4E-2</v>
      </c>
      <c r="C53">
        <v>0.17299999999999999</v>
      </c>
      <c r="D53">
        <v>0.39900000000000002</v>
      </c>
      <c r="E53">
        <v>1</v>
      </c>
      <c r="F53">
        <v>0.78200000000000003</v>
      </c>
      <c r="G53">
        <v>0.46700000000000003</v>
      </c>
    </row>
    <row r="54" spans="1:7">
      <c r="A54">
        <v>1987</v>
      </c>
      <c r="B54">
        <v>1.4E-2</v>
      </c>
      <c r="C54">
        <v>0.17299999999999999</v>
      </c>
      <c r="D54">
        <v>0.39900000000000002</v>
      </c>
      <c r="E54">
        <v>1</v>
      </c>
      <c r="F54">
        <v>0.78200000000000003</v>
      </c>
      <c r="G54">
        <v>0.46700000000000003</v>
      </c>
    </row>
    <row r="55" spans="1:7">
      <c r="A55">
        <v>1988</v>
      </c>
      <c r="B55">
        <v>1.4E-2</v>
      </c>
      <c r="C55">
        <v>0.17299999999999999</v>
      </c>
      <c r="D55">
        <v>0.39900000000000002</v>
      </c>
      <c r="E55">
        <v>1</v>
      </c>
      <c r="F55">
        <v>0.78200000000000003</v>
      </c>
      <c r="G55">
        <v>0.46700000000000003</v>
      </c>
    </row>
    <row r="56" spans="1:7">
      <c r="A56">
        <v>1989</v>
      </c>
      <c r="B56">
        <v>1.4E-2</v>
      </c>
      <c r="C56">
        <v>0.17299999999999999</v>
      </c>
      <c r="D56">
        <v>0.39900000000000002</v>
      </c>
      <c r="E56">
        <v>1</v>
      </c>
      <c r="F56">
        <v>0.78200000000000003</v>
      </c>
      <c r="G56">
        <v>0.46700000000000003</v>
      </c>
    </row>
    <row r="57" spans="1:7">
      <c r="A57">
        <v>1990</v>
      </c>
      <c r="B57">
        <v>1.4E-2</v>
      </c>
      <c r="C57">
        <v>0.17299999999999999</v>
      </c>
      <c r="D57">
        <v>0.39900000000000002</v>
      </c>
      <c r="E57">
        <v>1</v>
      </c>
      <c r="F57">
        <v>0.78200000000000003</v>
      </c>
      <c r="G57">
        <v>0.46700000000000003</v>
      </c>
    </row>
    <row r="58" spans="1:7">
      <c r="A58">
        <v>1991</v>
      </c>
      <c r="B58">
        <v>1.4E-2</v>
      </c>
      <c r="C58">
        <v>0.17299999999999999</v>
      </c>
      <c r="D58">
        <v>0.39900000000000002</v>
      </c>
      <c r="E58">
        <v>1</v>
      </c>
      <c r="F58">
        <v>0.78200000000000003</v>
      </c>
      <c r="G58">
        <v>0.46700000000000003</v>
      </c>
    </row>
    <row r="59" spans="1:7">
      <c r="A59">
        <v>1992</v>
      </c>
      <c r="B59">
        <v>1.4E-2</v>
      </c>
      <c r="C59">
        <v>0.17299999999999999</v>
      </c>
      <c r="D59">
        <v>0.39900000000000002</v>
      </c>
      <c r="E59">
        <v>1</v>
      </c>
      <c r="F59">
        <v>0.78200000000000003</v>
      </c>
      <c r="G59">
        <v>0.46700000000000003</v>
      </c>
    </row>
    <row r="60" spans="1:7">
      <c r="A60">
        <v>1993</v>
      </c>
      <c r="B60">
        <v>1.4E-2</v>
      </c>
      <c r="C60">
        <v>0.17299999999999999</v>
      </c>
      <c r="D60">
        <v>0.39900000000000002</v>
      </c>
      <c r="E60">
        <v>1</v>
      </c>
      <c r="F60">
        <v>0.78200000000000003</v>
      </c>
      <c r="G60">
        <v>0.46700000000000003</v>
      </c>
    </row>
    <row r="61" spans="1:7">
      <c r="A61">
        <v>1994</v>
      </c>
      <c r="B61">
        <v>1.4E-2</v>
      </c>
      <c r="C61">
        <v>0.17299999999999999</v>
      </c>
      <c r="D61">
        <v>0.39900000000000002</v>
      </c>
      <c r="E61">
        <v>1</v>
      </c>
      <c r="F61">
        <v>0.78200000000000003</v>
      </c>
      <c r="G61">
        <v>0.46700000000000003</v>
      </c>
    </row>
    <row r="62" spans="1:7">
      <c r="A62">
        <v>1995</v>
      </c>
      <c r="B62">
        <v>1.4E-2</v>
      </c>
      <c r="C62">
        <v>0.17299999999999999</v>
      </c>
      <c r="D62">
        <v>0.39900000000000002</v>
      </c>
      <c r="E62">
        <v>1</v>
      </c>
      <c r="F62">
        <v>0.78200000000000003</v>
      </c>
      <c r="G62">
        <v>0.46700000000000003</v>
      </c>
    </row>
    <row r="63" spans="1:7">
      <c r="A63">
        <v>1996</v>
      </c>
      <c r="B63">
        <v>1.4E-2</v>
      </c>
      <c r="C63">
        <v>0.17299999999999999</v>
      </c>
      <c r="D63">
        <v>0.39900000000000002</v>
      </c>
      <c r="E63">
        <v>1</v>
      </c>
      <c r="F63">
        <v>0.78200000000000003</v>
      </c>
      <c r="G63">
        <v>0.46700000000000003</v>
      </c>
    </row>
    <row r="64" spans="1:7">
      <c r="A64">
        <v>1997</v>
      </c>
      <c r="B64">
        <v>1.4E-2</v>
      </c>
      <c r="C64">
        <v>0.17299999999999999</v>
      </c>
      <c r="D64">
        <v>0.39900000000000002</v>
      </c>
      <c r="E64">
        <v>1</v>
      </c>
      <c r="F64">
        <v>0.78200000000000003</v>
      </c>
      <c r="G64">
        <v>0.46700000000000003</v>
      </c>
    </row>
    <row r="65" spans="1:7">
      <c r="A65">
        <v>1998</v>
      </c>
      <c r="B65">
        <v>1.4E-2</v>
      </c>
      <c r="C65">
        <v>0.17299999999999999</v>
      </c>
      <c r="D65">
        <v>0.39900000000000002</v>
      </c>
      <c r="E65">
        <v>1</v>
      </c>
      <c r="F65">
        <v>0.78200000000000003</v>
      </c>
      <c r="G65">
        <v>0.46700000000000003</v>
      </c>
    </row>
    <row r="66" spans="1:7">
      <c r="A66">
        <v>1999</v>
      </c>
      <c r="B66">
        <v>1.4E-2</v>
      </c>
      <c r="C66">
        <v>0.17299999999999999</v>
      </c>
      <c r="D66">
        <v>0.39900000000000002</v>
      </c>
      <c r="E66">
        <v>1</v>
      </c>
      <c r="F66">
        <v>0.78200000000000003</v>
      </c>
      <c r="G66">
        <v>0.46700000000000003</v>
      </c>
    </row>
    <row r="67" spans="1:7">
      <c r="A67">
        <v>2000</v>
      </c>
      <c r="B67">
        <v>1.4E-2</v>
      </c>
      <c r="C67">
        <v>0.17299999999999999</v>
      </c>
      <c r="D67">
        <v>0.39900000000000002</v>
      </c>
      <c r="E67">
        <v>1</v>
      </c>
      <c r="F67">
        <v>0.78200000000000003</v>
      </c>
      <c r="G67">
        <v>0.46700000000000003</v>
      </c>
    </row>
    <row r="68" spans="1:7">
      <c r="A68">
        <v>2001</v>
      </c>
      <c r="B68">
        <v>1.4E-2</v>
      </c>
      <c r="C68">
        <v>0.17299999999999999</v>
      </c>
      <c r="D68">
        <v>0.39900000000000002</v>
      </c>
      <c r="E68">
        <v>1</v>
      </c>
      <c r="F68">
        <v>0.78200000000000003</v>
      </c>
      <c r="G68">
        <v>0.46700000000000003</v>
      </c>
    </row>
    <row r="69" spans="1:7">
      <c r="A69">
        <v>2002</v>
      </c>
      <c r="B69">
        <v>1.4E-2</v>
      </c>
      <c r="C69">
        <v>0.17299999999999999</v>
      </c>
      <c r="D69">
        <v>0.39900000000000002</v>
      </c>
      <c r="E69">
        <v>1</v>
      </c>
      <c r="F69">
        <v>0.78200000000000003</v>
      </c>
      <c r="G69">
        <v>0.46700000000000003</v>
      </c>
    </row>
    <row r="70" spans="1:7">
      <c r="A70">
        <v>2003</v>
      </c>
      <c r="B70">
        <v>1.4E-2</v>
      </c>
      <c r="C70">
        <v>0.17299999999999999</v>
      </c>
      <c r="D70">
        <v>0.39900000000000002</v>
      </c>
      <c r="E70">
        <v>1</v>
      </c>
      <c r="F70">
        <v>0.78200000000000003</v>
      </c>
      <c r="G70">
        <v>0.46700000000000003</v>
      </c>
    </row>
    <row r="71" spans="1:7">
      <c r="A71">
        <v>2004</v>
      </c>
      <c r="B71">
        <v>1.4E-2</v>
      </c>
      <c r="C71">
        <v>0.17299999999999999</v>
      </c>
      <c r="D71">
        <v>0.39900000000000002</v>
      </c>
      <c r="E71">
        <v>1</v>
      </c>
      <c r="F71">
        <v>0.78200000000000003</v>
      </c>
      <c r="G71">
        <v>0.46700000000000003</v>
      </c>
    </row>
    <row r="72" spans="1:7">
      <c r="A72">
        <v>2005</v>
      </c>
      <c r="B72">
        <v>1.4E-2</v>
      </c>
      <c r="C72">
        <v>0.17299999999999999</v>
      </c>
      <c r="D72">
        <v>0.39900000000000002</v>
      </c>
      <c r="E72">
        <v>1</v>
      </c>
      <c r="F72">
        <v>0.78200000000000003</v>
      </c>
      <c r="G72">
        <v>0.46700000000000003</v>
      </c>
    </row>
    <row r="73" spans="1:7">
      <c r="A73">
        <v>2006</v>
      </c>
      <c r="B73">
        <v>1.4E-2</v>
      </c>
      <c r="C73">
        <v>0.17299999999999999</v>
      </c>
      <c r="D73">
        <v>0.39900000000000002</v>
      </c>
      <c r="E73">
        <v>1</v>
      </c>
      <c r="F73">
        <v>0.78200000000000003</v>
      </c>
      <c r="G73">
        <v>0.46700000000000003</v>
      </c>
    </row>
    <row r="99" spans="1:7">
      <c r="A99" t="str">
        <f>'Titles and Variables'!C18</f>
        <v>JPN_LL</v>
      </c>
      <c r="B99" t="s">
        <v>61</v>
      </c>
    </row>
    <row r="100" spans="1:7">
      <c r="A100" t="s">
        <v>70</v>
      </c>
      <c r="B100" t="s">
        <v>71</v>
      </c>
      <c r="C100" t="s">
        <v>72</v>
      </c>
    </row>
    <row r="101" spans="1:7">
      <c r="A101" t="s">
        <v>68</v>
      </c>
      <c r="B101">
        <v>0</v>
      </c>
      <c r="C101">
        <v>1</v>
      </c>
      <c r="D101">
        <v>2</v>
      </c>
      <c r="E101">
        <v>3</v>
      </c>
      <c r="F101">
        <v>4</v>
      </c>
      <c r="G101">
        <v>5</v>
      </c>
    </row>
    <row r="102" spans="1:7">
      <c r="A102" t="s">
        <v>69</v>
      </c>
      <c r="B102" t="s">
        <v>73</v>
      </c>
      <c r="C102" t="s">
        <v>73</v>
      </c>
      <c r="D102" t="s">
        <v>73</v>
      </c>
      <c r="E102" t="s">
        <v>73</v>
      </c>
      <c r="F102" t="s">
        <v>73</v>
      </c>
      <c r="G102" t="s">
        <v>73</v>
      </c>
    </row>
    <row r="103" spans="1:7">
      <c r="A103">
        <v>1970</v>
      </c>
      <c r="B103">
        <v>0</v>
      </c>
      <c r="C103">
        <v>2E-3</v>
      </c>
      <c r="D103">
        <v>0.187</v>
      </c>
      <c r="E103">
        <v>0.83799999999999997</v>
      </c>
      <c r="F103">
        <v>1</v>
      </c>
      <c r="G103">
        <v>0.43099999999999999</v>
      </c>
    </row>
    <row r="104" spans="1:7">
      <c r="A104">
        <v>1971</v>
      </c>
      <c r="B104">
        <v>0</v>
      </c>
      <c r="C104">
        <v>2E-3</v>
      </c>
      <c r="D104">
        <v>0.187</v>
      </c>
      <c r="E104">
        <v>0.83799999999999997</v>
      </c>
      <c r="F104">
        <v>1</v>
      </c>
      <c r="G104">
        <v>0.43099999999999999</v>
      </c>
    </row>
    <row r="105" spans="1:7">
      <c r="A105">
        <v>1972</v>
      </c>
      <c r="B105">
        <v>0</v>
      </c>
      <c r="C105">
        <v>2E-3</v>
      </c>
      <c r="D105">
        <v>0.187</v>
      </c>
      <c r="E105">
        <v>0.83799999999999997</v>
      </c>
      <c r="F105">
        <v>1</v>
      </c>
      <c r="G105">
        <v>0.43099999999999999</v>
      </c>
    </row>
    <row r="106" spans="1:7">
      <c r="A106">
        <v>1973</v>
      </c>
      <c r="B106">
        <v>0</v>
      </c>
      <c r="C106">
        <v>2E-3</v>
      </c>
      <c r="D106">
        <v>0.187</v>
      </c>
      <c r="E106">
        <v>0.83799999999999997</v>
      </c>
      <c r="F106">
        <v>1</v>
      </c>
      <c r="G106">
        <v>0.43099999999999999</v>
      </c>
    </row>
    <row r="107" spans="1:7">
      <c r="A107">
        <v>1974</v>
      </c>
      <c r="B107">
        <v>0</v>
      </c>
      <c r="C107">
        <v>2E-3</v>
      </c>
      <c r="D107">
        <v>0.187</v>
      </c>
      <c r="E107">
        <v>0.83799999999999997</v>
      </c>
      <c r="F107">
        <v>1</v>
      </c>
      <c r="G107">
        <v>0.43099999999999999</v>
      </c>
    </row>
    <row r="108" spans="1:7">
      <c r="A108">
        <v>1975</v>
      </c>
      <c r="B108">
        <v>0</v>
      </c>
      <c r="C108">
        <v>2E-3</v>
      </c>
      <c r="D108">
        <v>0.187</v>
      </c>
      <c r="E108">
        <v>0.83799999999999997</v>
      </c>
      <c r="F108">
        <v>1</v>
      </c>
      <c r="G108">
        <v>0.43099999999999999</v>
      </c>
    </row>
    <row r="109" spans="1:7">
      <c r="A109">
        <v>1976</v>
      </c>
      <c r="B109">
        <v>0</v>
      </c>
      <c r="C109">
        <v>2E-3</v>
      </c>
      <c r="D109">
        <v>0.187</v>
      </c>
      <c r="E109">
        <v>0.83799999999999997</v>
      </c>
      <c r="F109">
        <v>1</v>
      </c>
      <c r="G109">
        <v>0.43099999999999999</v>
      </c>
    </row>
    <row r="110" spans="1:7">
      <c r="A110">
        <v>1977</v>
      </c>
      <c r="B110">
        <v>0</v>
      </c>
      <c r="C110">
        <v>2E-3</v>
      </c>
      <c r="D110">
        <v>0.187</v>
      </c>
      <c r="E110">
        <v>0.83799999999999997</v>
      </c>
      <c r="F110">
        <v>1</v>
      </c>
      <c r="G110">
        <v>0.43099999999999999</v>
      </c>
    </row>
    <row r="111" spans="1:7">
      <c r="A111">
        <v>1978</v>
      </c>
      <c r="B111">
        <v>0</v>
      </c>
      <c r="C111">
        <v>2E-3</v>
      </c>
      <c r="D111">
        <v>0.187</v>
      </c>
      <c r="E111">
        <v>0.83799999999999997</v>
      </c>
      <c r="F111">
        <v>1</v>
      </c>
      <c r="G111">
        <v>0.43099999999999999</v>
      </c>
    </row>
    <row r="112" spans="1:7">
      <c r="A112">
        <v>1979</v>
      </c>
      <c r="B112">
        <v>0</v>
      </c>
      <c r="C112">
        <v>2E-3</v>
      </c>
      <c r="D112">
        <v>0.187</v>
      </c>
      <c r="E112">
        <v>0.83799999999999997</v>
      </c>
      <c r="F112">
        <v>1</v>
      </c>
      <c r="G112">
        <v>0.43099999999999999</v>
      </c>
    </row>
    <row r="113" spans="1:7">
      <c r="A113">
        <v>1980</v>
      </c>
      <c r="B113">
        <v>0</v>
      </c>
      <c r="C113">
        <v>2E-3</v>
      </c>
      <c r="D113">
        <v>0.187</v>
      </c>
      <c r="E113">
        <v>0.83799999999999997</v>
      </c>
      <c r="F113">
        <v>1</v>
      </c>
      <c r="G113">
        <v>0.43099999999999999</v>
      </c>
    </row>
    <row r="114" spans="1:7">
      <c r="A114">
        <v>1981</v>
      </c>
      <c r="B114">
        <v>0</v>
      </c>
      <c r="C114">
        <v>2E-3</v>
      </c>
      <c r="D114">
        <v>0.187</v>
      </c>
      <c r="E114">
        <v>0.83799999999999997</v>
      </c>
      <c r="F114">
        <v>1</v>
      </c>
      <c r="G114">
        <v>0.43099999999999999</v>
      </c>
    </row>
    <row r="115" spans="1:7">
      <c r="A115">
        <v>1982</v>
      </c>
      <c r="B115">
        <v>0</v>
      </c>
      <c r="C115">
        <v>2E-3</v>
      </c>
      <c r="D115">
        <v>0.187</v>
      </c>
      <c r="E115">
        <v>0.83799999999999997</v>
      </c>
      <c r="F115">
        <v>1</v>
      </c>
      <c r="G115">
        <v>0.43099999999999999</v>
      </c>
    </row>
    <row r="116" spans="1:7">
      <c r="A116">
        <v>1983</v>
      </c>
      <c r="B116">
        <v>0</v>
      </c>
      <c r="C116">
        <v>2E-3</v>
      </c>
      <c r="D116">
        <v>0.187</v>
      </c>
      <c r="E116">
        <v>0.83799999999999997</v>
      </c>
      <c r="F116">
        <v>1</v>
      </c>
      <c r="G116">
        <v>0.43099999999999999</v>
      </c>
    </row>
    <row r="117" spans="1:7">
      <c r="A117">
        <v>1984</v>
      </c>
      <c r="B117">
        <v>0</v>
      </c>
      <c r="C117">
        <v>2E-3</v>
      </c>
      <c r="D117">
        <v>0.187</v>
      </c>
      <c r="E117">
        <v>0.83799999999999997</v>
      </c>
      <c r="F117">
        <v>1</v>
      </c>
      <c r="G117">
        <v>0.43099999999999999</v>
      </c>
    </row>
    <row r="118" spans="1:7">
      <c r="A118">
        <v>1985</v>
      </c>
      <c r="B118">
        <v>0</v>
      </c>
      <c r="C118">
        <v>2E-3</v>
      </c>
      <c r="D118">
        <v>0.187</v>
      </c>
      <c r="E118">
        <v>0.83799999999999997</v>
      </c>
      <c r="F118">
        <v>1</v>
      </c>
      <c r="G118">
        <v>0.43099999999999999</v>
      </c>
    </row>
    <row r="119" spans="1:7">
      <c r="A119">
        <v>1986</v>
      </c>
      <c r="B119">
        <v>0</v>
      </c>
      <c r="C119">
        <v>2E-3</v>
      </c>
      <c r="D119">
        <v>0.187</v>
      </c>
      <c r="E119">
        <v>0.83799999999999997</v>
      </c>
      <c r="F119">
        <v>1</v>
      </c>
      <c r="G119">
        <v>0.43099999999999999</v>
      </c>
    </row>
    <row r="120" spans="1:7">
      <c r="A120">
        <v>1987</v>
      </c>
      <c r="B120">
        <v>0</v>
      </c>
      <c r="C120">
        <v>2E-3</v>
      </c>
      <c r="D120">
        <v>0.187</v>
      </c>
      <c r="E120">
        <v>0.83799999999999997</v>
      </c>
      <c r="F120">
        <v>1</v>
      </c>
      <c r="G120">
        <v>0.43099999999999999</v>
      </c>
    </row>
    <row r="121" spans="1:7">
      <c r="A121">
        <v>1988</v>
      </c>
      <c r="B121">
        <v>0</v>
      </c>
      <c r="C121">
        <v>2E-3</v>
      </c>
      <c r="D121">
        <v>0.187</v>
      </c>
      <c r="E121">
        <v>0.83799999999999997</v>
      </c>
      <c r="F121">
        <v>1</v>
      </c>
      <c r="G121">
        <v>0.43099999999999999</v>
      </c>
    </row>
    <row r="122" spans="1:7">
      <c r="A122">
        <v>1989</v>
      </c>
      <c r="B122">
        <v>0</v>
      </c>
      <c r="C122">
        <v>2E-3</v>
      </c>
      <c r="D122">
        <v>0.187</v>
      </c>
      <c r="E122">
        <v>0.83799999999999997</v>
      </c>
      <c r="F122">
        <v>1</v>
      </c>
      <c r="G122">
        <v>0.43099999999999999</v>
      </c>
    </row>
    <row r="123" spans="1:7">
      <c r="A123">
        <v>1990</v>
      </c>
      <c r="B123">
        <v>0</v>
      </c>
      <c r="C123">
        <v>2E-3</v>
      </c>
      <c r="D123">
        <v>0.187</v>
      </c>
      <c r="E123">
        <v>0.83799999999999997</v>
      </c>
      <c r="F123">
        <v>1</v>
      </c>
      <c r="G123">
        <v>0.43099999999999999</v>
      </c>
    </row>
    <row r="124" spans="1:7">
      <c r="A124">
        <v>1991</v>
      </c>
      <c r="B124">
        <v>0</v>
      </c>
      <c r="C124">
        <v>2E-3</v>
      </c>
      <c r="D124">
        <v>0.187</v>
      </c>
      <c r="E124">
        <v>0.83799999999999997</v>
      </c>
      <c r="F124">
        <v>1</v>
      </c>
      <c r="G124">
        <v>0.43099999999999999</v>
      </c>
    </row>
    <row r="125" spans="1:7">
      <c r="A125">
        <v>1992</v>
      </c>
      <c r="B125">
        <v>0</v>
      </c>
      <c r="C125">
        <v>2E-3</v>
      </c>
      <c r="D125">
        <v>0.187</v>
      </c>
      <c r="E125">
        <v>0.83799999999999997</v>
      </c>
      <c r="F125">
        <v>1</v>
      </c>
      <c r="G125">
        <v>0.43099999999999999</v>
      </c>
    </row>
    <row r="126" spans="1:7">
      <c r="A126">
        <v>1993</v>
      </c>
      <c r="B126">
        <v>0</v>
      </c>
      <c r="C126">
        <v>2E-3</v>
      </c>
      <c r="D126">
        <v>0.187</v>
      </c>
      <c r="E126">
        <v>0.83799999999999997</v>
      </c>
      <c r="F126">
        <v>1</v>
      </c>
      <c r="G126">
        <v>0.43099999999999999</v>
      </c>
    </row>
    <row r="127" spans="1:7">
      <c r="A127">
        <v>1994</v>
      </c>
      <c r="B127">
        <v>0</v>
      </c>
      <c r="C127">
        <v>2E-3</v>
      </c>
      <c r="D127">
        <v>0.187</v>
      </c>
      <c r="E127">
        <v>0.83799999999999997</v>
      </c>
      <c r="F127">
        <v>1</v>
      </c>
      <c r="G127">
        <v>0.43099999999999999</v>
      </c>
    </row>
    <row r="128" spans="1:7">
      <c r="A128">
        <v>1995</v>
      </c>
      <c r="B128">
        <v>0</v>
      </c>
      <c r="C128">
        <v>2E-3</v>
      </c>
      <c r="D128">
        <v>0.187</v>
      </c>
      <c r="E128">
        <v>0.83799999999999997</v>
      </c>
      <c r="F128">
        <v>1</v>
      </c>
      <c r="G128">
        <v>0.43099999999999999</v>
      </c>
    </row>
    <row r="129" spans="1:7">
      <c r="A129">
        <v>1996</v>
      </c>
      <c r="B129">
        <v>0</v>
      </c>
      <c r="C129">
        <v>2E-3</v>
      </c>
      <c r="D129">
        <v>0.187</v>
      </c>
      <c r="E129">
        <v>0.83799999999999997</v>
      </c>
      <c r="F129">
        <v>1</v>
      </c>
      <c r="G129">
        <v>0.43099999999999999</v>
      </c>
    </row>
    <row r="130" spans="1:7">
      <c r="A130">
        <v>1997</v>
      </c>
      <c r="B130">
        <v>0</v>
      </c>
      <c r="C130">
        <v>2E-3</v>
      </c>
      <c r="D130">
        <v>0.187</v>
      </c>
      <c r="E130">
        <v>0.83799999999999997</v>
      </c>
      <c r="F130">
        <v>1</v>
      </c>
      <c r="G130">
        <v>0.43099999999999999</v>
      </c>
    </row>
    <row r="131" spans="1:7">
      <c r="A131">
        <v>1998</v>
      </c>
      <c r="B131">
        <v>0</v>
      </c>
      <c r="C131">
        <v>2E-3</v>
      </c>
      <c r="D131">
        <v>0.187</v>
      </c>
      <c r="E131">
        <v>0.83799999999999997</v>
      </c>
      <c r="F131">
        <v>1</v>
      </c>
      <c r="G131">
        <v>0.43099999999999999</v>
      </c>
    </row>
    <row r="132" spans="1:7">
      <c r="A132">
        <v>1999</v>
      </c>
      <c r="B132">
        <v>0</v>
      </c>
      <c r="C132">
        <v>2E-3</v>
      </c>
      <c r="D132">
        <v>0.187</v>
      </c>
      <c r="E132">
        <v>0.83799999999999997</v>
      </c>
      <c r="F132">
        <v>1</v>
      </c>
      <c r="G132">
        <v>0.43099999999999999</v>
      </c>
    </row>
    <row r="133" spans="1:7">
      <c r="A133">
        <v>2000</v>
      </c>
      <c r="B133">
        <v>0</v>
      </c>
      <c r="C133">
        <v>2E-3</v>
      </c>
      <c r="D133">
        <v>0.187</v>
      </c>
      <c r="E133">
        <v>0.83799999999999997</v>
      </c>
      <c r="F133">
        <v>1</v>
      </c>
      <c r="G133">
        <v>0.43099999999999999</v>
      </c>
    </row>
    <row r="134" spans="1:7">
      <c r="A134">
        <v>2001</v>
      </c>
      <c r="B134">
        <v>0</v>
      </c>
      <c r="C134">
        <v>2E-3</v>
      </c>
      <c r="D134">
        <v>0.187</v>
      </c>
      <c r="E134">
        <v>0.83799999999999997</v>
      </c>
      <c r="F134">
        <v>1</v>
      </c>
      <c r="G134">
        <v>0.43099999999999999</v>
      </c>
    </row>
    <row r="135" spans="1:7">
      <c r="A135">
        <v>2002</v>
      </c>
      <c r="B135">
        <v>0</v>
      </c>
      <c r="C135">
        <v>2E-3</v>
      </c>
      <c r="D135">
        <v>0.187</v>
      </c>
      <c r="E135">
        <v>0.83799999999999997</v>
      </c>
      <c r="F135">
        <v>1</v>
      </c>
      <c r="G135">
        <v>0.43099999999999999</v>
      </c>
    </row>
    <row r="136" spans="1:7">
      <c r="A136">
        <v>2003</v>
      </c>
      <c r="B136">
        <v>0</v>
      </c>
      <c r="C136">
        <v>2E-3</v>
      </c>
      <c r="D136">
        <v>0.187</v>
      </c>
      <c r="E136">
        <v>0.83799999999999997</v>
      </c>
      <c r="F136">
        <v>1</v>
      </c>
      <c r="G136">
        <v>0.43099999999999999</v>
      </c>
    </row>
    <row r="137" spans="1:7">
      <c r="A137">
        <v>2004</v>
      </c>
      <c r="B137">
        <v>0</v>
      </c>
      <c r="C137">
        <v>2E-3</v>
      </c>
      <c r="D137">
        <v>0.187</v>
      </c>
      <c r="E137">
        <v>0.83799999999999997</v>
      </c>
      <c r="F137">
        <v>1</v>
      </c>
      <c r="G137">
        <v>0.43099999999999999</v>
      </c>
    </row>
    <row r="138" spans="1:7">
      <c r="A138">
        <v>2005</v>
      </c>
      <c r="B138">
        <v>0</v>
      </c>
      <c r="C138">
        <v>2E-3</v>
      </c>
      <c r="D138">
        <v>0.187</v>
      </c>
      <c r="E138">
        <v>0.83799999999999997</v>
      </c>
      <c r="F138">
        <v>1</v>
      </c>
      <c r="G138">
        <v>0.43099999999999999</v>
      </c>
    </row>
    <row r="139" spans="1:7">
      <c r="A139">
        <v>2006</v>
      </c>
      <c r="B139">
        <v>0</v>
      </c>
      <c r="C139">
        <v>2E-3</v>
      </c>
      <c r="D139">
        <v>0.187</v>
      </c>
      <c r="E139">
        <v>0.83799999999999997</v>
      </c>
      <c r="F139">
        <v>1</v>
      </c>
      <c r="G139">
        <v>0.43099999999999999</v>
      </c>
    </row>
    <row r="149" spans="1:7">
      <c r="A149" t="str">
        <f>'Titles and Variables'!C19</f>
        <v>USMEX_LL</v>
      </c>
      <c r="B149" t="s">
        <v>61</v>
      </c>
    </row>
    <row r="150" spans="1:7">
      <c r="A150" t="s">
        <v>70</v>
      </c>
      <c r="B150" t="s">
        <v>71</v>
      </c>
      <c r="C150" t="s">
        <v>72</v>
      </c>
    </row>
    <row r="151" spans="1:7">
      <c r="A151" t="s">
        <v>68</v>
      </c>
      <c r="B151">
        <v>0</v>
      </c>
      <c r="C151">
        <v>1</v>
      </c>
      <c r="D151">
        <v>2</v>
      </c>
      <c r="E151">
        <v>3</v>
      </c>
      <c r="F151">
        <v>4</v>
      </c>
      <c r="G151">
        <v>5</v>
      </c>
    </row>
    <row r="152" spans="1:7">
      <c r="A152" t="s">
        <v>69</v>
      </c>
      <c r="B152" t="s">
        <v>73</v>
      </c>
      <c r="C152" t="s">
        <v>73</v>
      </c>
      <c r="D152" t="s">
        <v>73</v>
      </c>
      <c r="E152" t="s">
        <v>73</v>
      </c>
      <c r="F152" t="s">
        <v>73</v>
      </c>
      <c r="G152" t="s">
        <v>73</v>
      </c>
    </row>
    <row r="153" spans="1:7">
      <c r="A153">
        <v>1993</v>
      </c>
      <c r="B153">
        <v>0</v>
      </c>
      <c r="C153">
        <v>6.0000000000000001E-3</v>
      </c>
      <c r="D153">
        <v>0.27</v>
      </c>
      <c r="E153">
        <v>1</v>
      </c>
      <c r="F153">
        <v>0.875</v>
      </c>
      <c r="G153">
        <v>0.123</v>
      </c>
    </row>
    <row r="154" spans="1:7">
      <c r="A154">
        <v>1994</v>
      </c>
      <c r="B154">
        <v>0</v>
      </c>
      <c r="C154">
        <v>6.0000000000000001E-3</v>
      </c>
      <c r="D154">
        <v>0.27</v>
      </c>
      <c r="E154">
        <v>1</v>
      </c>
      <c r="F154">
        <v>0.875</v>
      </c>
      <c r="G154">
        <v>0.123</v>
      </c>
    </row>
    <row r="155" spans="1:7">
      <c r="A155">
        <v>1995</v>
      </c>
      <c r="B155">
        <v>0</v>
      </c>
      <c r="C155">
        <v>6.0000000000000001E-3</v>
      </c>
      <c r="D155">
        <v>0.27</v>
      </c>
      <c r="E155">
        <v>1</v>
      </c>
      <c r="F155">
        <v>0.875</v>
      </c>
      <c r="G155">
        <v>0.123</v>
      </c>
    </row>
    <row r="156" spans="1:7">
      <c r="A156">
        <v>1996</v>
      </c>
      <c r="B156">
        <v>0</v>
      </c>
      <c r="C156">
        <v>6.0000000000000001E-3</v>
      </c>
      <c r="D156">
        <v>0.27</v>
      </c>
      <c r="E156">
        <v>1</v>
      </c>
      <c r="F156">
        <v>0.875</v>
      </c>
      <c r="G156">
        <v>0.123</v>
      </c>
    </row>
    <row r="157" spans="1:7">
      <c r="A157">
        <v>1997</v>
      </c>
      <c r="B157">
        <v>0</v>
      </c>
      <c r="C157">
        <v>6.0000000000000001E-3</v>
      </c>
      <c r="D157">
        <v>0.27</v>
      </c>
      <c r="E157">
        <v>1</v>
      </c>
      <c r="F157">
        <v>0.875</v>
      </c>
      <c r="G157">
        <v>0.123</v>
      </c>
    </row>
    <row r="158" spans="1:7">
      <c r="A158">
        <v>1998</v>
      </c>
      <c r="B158">
        <v>0</v>
      </c>
      <c r="C158">
        <v>6.0000000000000001E-3</v>
      </c>
      <c r="D158">
        <v>0.27</v>
      </c>
      <c r="E158">
        <v>1</v>
      </c>
      <c r="F158">
        <v>0.875</v>
      </c>
      <c r="G158">
        <v>0.123</v>
      </c>
    </row>
    <row r="159" spans="1:7">
      <c r="A159">
        <v>1999</v>
      </c>
      <c r="B159">
        <v>0</v>
      </c>
      <c r="C159">
        <v>6.0000000000000001E-3</v>
      </c>
      <c r="D159">
        <v>0.27</v>
      </c>
      <c r="E159">
        <v>1</v>
      </c>
      <c r="F159">
        <v>0.875</v>
      </c>
      <c r="G159">
        <v>0.123</v>
      </c>
    </row>
    <row r="160" spans="1:7">
      <c r="A160">
        <v>2000</v>
      </c>
      <c r="B160">
        <v>0</v>
      </c>
      <c r="C160">
        <v>6.0000000000000001E-3</v>
      </c>
      <c r="D160">
        <v>0.27</v>
      </c>
      <c r="E160">
        <v>1</v>
      </c>
      <c r="F160">
        <v>0.875</v>
      </c>
      <c r="G160">
        <v>0.123</v>
      </c>
    </row>
    <row r="161" spans="1:7">
      <c r="A161">
        <v>2001</v>
      </c>
      <c r="B161">
        <v>0</v>
      </c>
      <c r="C161">
        <v>6.0000000000000001E-3</v>
      </c>
      <c r="D161">
        <v>0.27</v>
      </c>
      <c r="E161">
        <v>1</v>
      </c>
      <c r="F161">
        <v>0.875</v>
      </c>
      <c r="G161">
        <v>0.123</v>
      </c>
    </row>
    <row r="162" spans="1:7">
      <c r="A162">
        <v>2002</v>
      </c>
      <c r="B162">
        <v>0</v>
      </c>
      <c r="C162">
        <v>6.0000000000000001E-3</v>
      </c>
      <c r="D162">
        <v>0.27</v>
      </c>
      <c r="E162">
        <v>1</v>
      </c>
      <c r="F162">
        <v>0.875</v>
      </c>
      <c r="G162">
        <v>0.123</v>
      </c>
    </row>
    <row r="163" spans="1:7">
      <c r="A163">
        <v>2003</v>
      </c>
      <c r="B163">
        <v>0</v>
      </c>
      <c r="C163">
        <v>6.0000000000000001E-3</v>
      </c>
      <c r="D163">
        <v>0.27</v>
      </c>
      <c r="E163">
        <v>1</v>
      </c>
      <c r="F163">
        <v>0.875</v>
      </c>
      <c r="G163">
        <v>0.123</v>
      </c>
    </row>
    <row r="164" spans="1:7">
      <c r="A164">
        <v>2004</v>
      </c>
      <c r="B164">
        <v>0</v>
      </c>
      <c r="C164">
        <v>6.0000000000000001E-3</v>
      </c>
      <c r="D164">
        <v>0.27</v>
      </c>
      <c r="E164">
        <v>1</v>
      </c>
      <c r="F164">
        <v>0.875</v>
      </c>
      <c r="G164">
        <v>0.123</v>
      </c>
    </row>
    <row r="165" spans="1:7">
      <c r="A165">
        <v>2005</v>
      </c>
      <c r="B165">
        <v>0</v>
      </c>
      <c r="C165">
        <v>6.0000000000000001E-3</v>
      </c>
      <c r="D165">
        <v>0.27</v>
      </c>
      <c r="E165">
        <v>1</v>
      </c>
      <c r="F165">
        <v>0.875</v>
      </c>
      <c r="G165">
        <v>0.123</v>
      </c>
    </row>
    <row r="166" spans="1:7">
      <c r="A166">
        <v>2006</v>
      </c>
      <c r="B166">
        <v>0</v>
      </c>
      <c r="C166">
        <v>6.0000000000000001E-3</v>
      </c>
      <c r="D166">
        <v>0.27</v>
      </c>
      <c r="E166">
        <v>1</v>
      </c>
      <c r="F166">
        <v>0.875</v>
      </c>
      <c r="G166">
        <v>0.123</v>
      </c>
    </row>
    <row r="199" spans="1:7">
      <c r="A199" t="str">
        <f>'Titles and Variables'!C20</f>
        <v>US_RR</v>
      </c>
      <c r="B199" t="s">
        <v>61</v>
      </c>
    </row>
    <row r="200" spans="1:7">
      <c r="A200" t="s">
        <v>70</v>
      </c>
      <c r="B200" t="s">
        <v>71</v>
      </c>
      <c r="C200" t="s">
        <v>72</v>
      </c>
    </row>
    <row r="201" spans="1:7">
      <c r="A201" t="s">
        <v>68</v>
      </c>
      <c r="B201">
        <v>0</v>
      </c>
      <c r="C201">
        <v>1</v>
      </c>
      <c r="D201">
        <v>2</v>
      </c>
      <c r="E201">
        <v>3</v>
      </c>
      <c r="F201">
        <v>4</v>
      </c>
      <c r="G201">
        <v>5</v>
      </c>
    </row>
    <row r="202" spans="1:7">
      <c r="A202" t="s">
        <v>69</v>
      </c>
      <c r="B202" t="s">
        <v>73</v>
      </c>
      <c r="C202" t="s">
        <v>73</v>
      </c>
      <c r="D202" t="s">
        <v>73</v>
      </c>
      <c r="E202" t="s">
        <v>73</v>
      </c>
      <c r="F202" t="s">
        <v>73</v>
      </c>
      <c r="G202" t="s">
        <v>73</v>
      </c>
    </row>
    <row r="203" spans="1:7">
      <c r="A203">
        <v>1986</v>
      </c>
      <c r="B203">
        <v>0</v>
      </c>
      <c r="C203">
        <v>0.09</v>
      </c>
      <c r="D203">
        <v>1</v>
      </c>
      <c r="E203">
        <v>0.19600000000000001</v>
      </c>
      <c r="F203">
        <v>9.9000000000000005E-2</v>
      </c>
      <c r="G203">
        <v>7.1999999999999995E-2</v>
      </c>
    </row>
    <row r="204" spans="1:7">
      <c r="A204">
        <v>1987</v>
      </c>
      <c r="B204">
        <v>0</v>
      </c>
      <c r="C204">
        <v>0.09</v>
      </c>
      <c r="D204">
        <v>1</v>
      </c>
      <c r="E204">
        <v>0.19600000000000001</v>
      </c>
      <c r="F204">
        <v>9.9000000000000005E-2</v>
      </c>
      <c r="G204">
        <v>7.1999999999999995E-2</v>
      </c>
    </row>
    <row r="205" spans="1:7">
      <c r="A205">
        <v>1988</v>
      </c>
      <c r="B205">
        <v>0</v>
      </c>
      <c r="C205">
        <v>0.09</v>
      </c>
      <c r="D205">
        <v>1</v>
      </c>
      <c r="E205">
        <v>0.19600000000000001</v>
      </c>
      <c r="F205">
        <v>9.9000000000000005E-2</v>
      </c>
      <c r="G205">
        <v>7.1999999999999995E-2</v>
      </c>
    </row>
    <row r="206" spans="1:7">
      <c r="A206">
        <v>1989</v>
      </c>
      <c r="B206">
        <v>0</v>
      </c>
      <c r="C206">
        <v>0.09</v>
      </c>
      <c r="D206">
        <v>1</v>
      </c>
      <c r="E206">
        <v>0.19600000000000001</v>
      </c>
      <c r="F206">
        <v>9.9000000000000005E-2</v>
      </c>
      <c r="G206">
        <v>7.1999999999999995E-2</v>
      </c>
    </row>
    <row r="207" spans="1:7">
      <c r="A207">
        <v>1990</v>
      </c>
      <c r="B207">
        <v>0</v>
      </c>
      <c r="C207">
        <v>0.09</v>
      </c>
      <c r="D207">
        <v>1</v>
      </c>
      <c r="E207">
        <v>0.19600000000000001</v>
      </c>
      <c r="F207">
        <v>9.9000000000000005E-2</v>
      </c>
      <c r="G207">
        <v>7.1999999999999995E-2</v>
      </c>
    </row>
    <row r="208" spans="1:7">
      <c r="A208">
        <v>1991</v>
      </c>
      <c r="B208">
        <v>0</v>
      </c>
      <c r="C208">
        <v>0.09</v>
      </c>
      <c r="D208">
        <v>1</v>
      </c>
      <c r="E208">
        <v>0.19600000000000001</v>
      </c>
      <c r="F208">
        <v>9.9000000000000005E-2</v>
      </c>
      <c r="G208">
        <v>7.1999999999999995E-2</v>
      </c>
    </row>
    <row r="209" spans="1:7">
      <c r="A209">
        <v>1992</v>
      </c>
      <c r="B209">
        <v>0</v>
      </c>
      <c r="C209">
        <v>0.09</v>
      </c>
      <c r="D209">
        <v>1</v>
      </c>
      <c r="E209">
        <v>0.19600000000000001</v>
      </c>
      <c r="F209">
        <v>9.9000000000000005E-2</v>
      </c>
      <c r="G209">
        <v>7.1999999999999995E-2</v>
      </c>
    </row>
    <row r="210" spans="1:7">
      <c r="A210">
        <v>1993</v>
      </c>
      <c r="B210">
        <v>0</v>
      </c>
      <c r="C210">
        <v>0.09</v>
      </c>
      <c r="D210">
        <v>1</v>
      </c>
      <c r="E210">
        <v>0.19600000000000001</v>
      </c>
      <c r="F210">
        <v>9.9000000000000005E-2</v>
      </c>
      <c r="G210">
        <v>7.1999999999999995E-2</v>
      </c>
    </row>
    <row r="211" spans="1:7">
      <c r="A211">
        <v>1994</v>
      </c>
      <c r="B211">
        <v>0</v>
      </c>
      <c r="C211">
        <v>0.09</v>
      </c>
      <c r="D211">
        <v>1</v>
      </c>
      <c r="E211">
        <v>0.19600000000000001</v>
      </c>
      <c r="F211">
        <v>9.9000000000000005E-2</v>
      </c>
      <c r="G211">
        <v>7.1999999999999995E-2</v>
      </c>
    </row>
    <row r="212" spans="1:7">
      <c r="A212">
        <v>1995</v>
      </c>
      <c r="B212">
        <v>0</v>
      </c>
      <c r="C212">
        <v>0.09</v>
      </c>
      <c r="D212">
        <v>1</v>
      </c>
      <c r="E212">
        <v>0.19600000000000001</v>
      </c>
      <c r="F212">
        <v>9.9000000000000005E-2</v>
      </c>
      <c r="G212">
        <v>7.1999999999999995E-2</v>
      </c>
    </row>
    <row r="213" spans="1:7">
      <c r="A213">
        <v>1996</v>
      </c>
      <c r="B213">
        <v>0</v>
      </c>
      <c r="C213">
        <v>0.09</v>
      </c>
      <c r="D213">
        <v>1</v>
      </c>
      <c r="E213">
        <v>0.19600000000000001</v>
      </c>
      <c r="F213">
        <v>9.9000000000000005E-2</v>
      </c>
      <c r="G213">
        <v>7.1999999999999995E-2</v>
      </c>
    </row>
    <row r="214" spans="1:7">
      <c r="A214">
        <v>1997</v>
      </c>
      <c r="B214">
        <v>0</v>
      </c>
      <c r="C214">
        <v>0.09</v>
      </c>
      <c r="D214">
        <v>1</v>
      </c>
      <c r="E214">
        <v>0.19600000000000001</v>
      </c>
      <c r="F214">
        <v>9.9000000000000005E-2</v>
      </c>
      <c r="G214">
        <v>7.1999999999999995E-2</v>
      </c>
    </row>
    <row r="215" spans="1:7">
      <c r="A215">
        <v>1998</v>
      </c>
      <c r="B215">
        <v>0</v>
      </c>
      <c r="C215">
        <v>0.09</v>
      </c>
      <c r="D215">
        <v>1</v>
      </c>
      <c r="E215">
        <v>0.19600000000000001</v>
      </c>
      <c r="F215">
        <v>9.9000000000000005E-2</v>
      </c>
      <c r="G215">
        <v>7.1999999999999995E-2</v>
      </c>
    </row>
    <row r="216" spans="1:7">
      <c r="A216">
        <v>1999</v>
      </c>
      <c r="B216">
        <v>0</v>
      </c>
      <c r="C216">
        <v>0.09</v>
      </c>
      <c r="D216">
        <v>1</v>
      </c>
      <c r="E216">
        <v>0.19600000000000001</v>
      </c>
      <c r="F216">
        <v>9.9000000000000005E-2</v>
      </c>
      <c r="G216">
        <v>7.1999999999999995E-2</v>
      </c>
    </row>
    <row r="217" spans="1:7">
      <c r="A217">
        <v>2000</v>
      </c>
      <c r="B217">
        <v>0</v>
      </c>
      <c r="C217">
        <v>0.09</v>
      </c>
      <c r="D217">
        <v>1</v>
      </c>
      <c r="E217">
        <v>0.19600000000000001</v>
      </c>
      <c r="F217">
        <v>9.9000000000000005E-2</v>
      </c>
      <c r="G217">
        <v>7.1999999999999995E-2</v>
      </c>
    </row>
    <row r="218" spans="1:7">
      <c r="A218">
        <v>2001</v>
      </c>
      <c r="B218">
        <v>0</v>
      </c>
      <c r="C218">
        <v>0.09</v>
      </c>
      <c r="D218">
        <v>1</v>
      </c>
      <c r="E218">
        <v>0.19600000000000001</v>
      </c>
      <c r="F218">
        <v>9.9000000000000005E-2</v>
      </c>
      <c r="G218">
        <v>7.1999999999999995E-2</v>
      </c>
    </row>
    <row r="219" spans="1:7">
      <c r="A219">
        <v>2002</v>
      </c>
      <c r="B219">
        <v>0</v>
      </c>
      <c r="C219">
        <v>0.09</v>
      </c>
      <c r="D219">
        <v>1</v>
      </c>
      <c r="E219">
        <v>0.19600000000000001</v>
      </c>
      <c r="F219">
        <v>9.9000000000000005E-2</v>
      </c>
      <c r="G219">
        <v>7.1999999999999995E-2</v>
      </c>
    </row>
    <row r="220" spans="1:7">
      <c r="A220">
        <v>2003</v>
      </c>
      <c r="B220">
        <v>0</v>
      </c>
      <c r="C220">
        <v>0.09</v>
      </c>
      <c r="D220">
        <v>1</v>
      </c>
      <c r="E220">
        <v>0.19600000000000001</v>
      </c>
      <c r="F220">
        <v>9.9000000000000005E-2</v>
      </c>
      <c r="G220">
        <v>7.1999999999999995E-2</v>
      </c>
    </row>
    <row r="221" spans="1:7">
      <c r="A221">
        <v>2004</v>
      </c>
      <c r="B221">
        <v>0</v>
      </c>
      <c r="C221">
        <v>0.09</v>
      </c>
      <c r="D221">
        <v>1</v>
      </c>
      <c r="E221">
        <v>0.19600000000000001</v>
      </c>
      <c r="F221">
        <v>9.9000000000000005E-2</v>
      </c>
      <c r="G221">
        <v>7.1999999999999995E-2</v>
      </c>
    </row>
    <row r="222" spans="1:7">
      <c r="A222">
        <v>2005</v>
      </c>
      <c r="B222">
        <v>0</v>
      </c>
      <c r="C222">
        <v>0.09</v>
      </c>
      <c r="D222">
        <v>1</v>
      </c>
      <c r="E222">
        <v>0.19600000000000001</v>
      </c>
      <c r="F222">
        <v>9.9000000000000005E-2</v>
      </c>
      <c r="G222">
        <v>7.1999999999999995E-2</v>
      </c>
    </row>
    <row r="223" spans="1:7">
      <c r="A223">
        <v>2006</v>
      </c>
      <c r="B223">
        <v>0</v>
      </c>
      <c r="C223">
        <v>0.09</v>
      </c>
      <c r="D223">
        <v>1</v>
      </c>
      <c r="E223">
        <v>0.19600000000000001</v>
      </c>
      <c r="F223">
        <v>9.9000000000000005E-2</v>
      </c>
      <c r="G223">
        <v>7.1999999999999995E-2</v>
      </c>
    </row>
    <row r="249" spans="1:7">
      <c r="A249" t="str">
        <f>'Titles and Variables'!C21</f>
        <v>US_PLL ATL</v>
      </c>
      <c r="B249" t="s">
        <v>61</v>
      </c>
    </row>
    <row r="250" spans="1:7">
      <c r="A250" t="s">
        <v>70</v>
      </c>
      <c r="B250" t="s">
        <v>71</v>
      </c>
      <c r="C250" t="s">
        <v>72</v>
      </c>
    </row>
    <row r="251" spans="1:7">
      <c r="A251" t="s">
        <v>68</v>
      </c>
      <c r="B251">
        <v>0</v>
      </c>
      <c r="C251">
        <v>1</v>
      </c>
      <c r="D251">
        <v>2</v>
      </c>
      <c r="E251">
        <v>3</v>
      </c>
      <c r="F251">
        <v>4</v>
      </c>
      <c r="G251">
        <v>5</v>
      </c>
    </row>
    <row r="252" spans="1:7">
      <c r="A252" t="s">
        <v>69</v>
      </c>
      <c r="B252" t="s">
        <v>73</v>
      </c>
      <c r="C252" t="s">
        <v>73</v>
      </c>
      <c r="D252" t="s">
        <v>73</v>
      </c>
      <c r="E252" t="s">
        <v>73</v>
      </c>
      <c r="F252" t="s">
        <v>73</v>
      </c>
      <c r="G252" t="s">
        <v>73</v>
      </c>
    </row>
    <row r="253" spans="1:7">
      <c r="A253">
        <v>1987</v>
      </c>
      <c r="B253">
        <v>0</v>
      </c>
      <c r="C253">
        <v>5.0000000000000001E-3</v>
      </c>
      <c r="D253">
        <v>0.245</v>
      </c>
      <c r="E253">
        <v>1</v>
      </c>
      <c r="F253">
        <v>0.63700000000000001</v>
      </c>
      <c r="G253">
        <v>7.2999999999999995E-2</v>
      </c>
    </row>
    <row r="254" spans="1:7">
      <c r="A254">
        <v>1988</v>
      </c>
      <c r="B254">
        <v>0</v>
      </c>
      <c r="C254">
        <v>5.0000000000000001E-3</v>
      </c>
      <c r="D254">
        <v>0.245</v>
      </c>
      <c r="E254">
        <v>1</v>
      </c>
      <c r="F254">
        <v>0.63700000000000001</v>
      </c>
      <c r="G254">
        <v>7.2999999999999995E-2</v>
      </c>
    </row>
    <row r="255" spans="1:7">
      <c r="A255">
        <v>1989</v>
      </c>
      <c r="B255">
        <v>0</v>
      </c>
      <c r="C255">
        <v>5.0000000000000001E-3</v>
      </c>
      <c r="D255">
        <v>0.245</v>
      </c>
      <c r="E255">
        <v>1</v>
      </c>
      <c r="F255">
        <v>0.63700000000000001</v>
      </c>
      <c r="G255">
        <v>7.2999999999999995E-2</v>
      </c>
    </row>
    <row r="256" spans="1:7">
      <c r="A256">
        <v>1990</v>
      </c>
      <c r="B256">
        <v>0</v>
      </c>
      <c r="C256">
        <v>5.0000000000000001E-3</v>
      </c>
      <c r="D256">
        <v>0.245</v>
      </c>
      <c r="E256">
        <v>1</v>
      </c>
      <c r="F256">
        <v>0.63700000000000001</v>
      </c>
      <c r="G256">
        <v>7.2999999999999995E-2</v>
      </c>
    </row>
    <row r="257" spans="1:7">
      <c r="A257">
        <v>1991</v>
      </c>
      <c r="B257">
        <v>0</v>
      </c>
      <c r="C257">
        <v>5.0000000000000001E-3</v>
      </c>
      <c r="D257">
        <v>0.245</v>
      </c>
      <c r="E257">
        <v>1</v>
      </c>
      <c r="F257">
        <v>0.63700000000000001</v>
      </c>
      <c r="G257">
        <v>7.2999999999999995E-2</v>
      </c>
    </row>
    <row r="258" spans="1:7">
      <c r="A258">
        <v>1992</v>
      </c>
      <c r="B258">
        <v>0</v>
      </c>
      <c r="C258">
        <v>5.0000000000000001E-3</v>
      </c>
      <c r="D258">
        <v>0.245</v>
      </c>
      <c r="E258">
        <v>1</v>
      </c>
      <c r="F258">
        <v>0.63700000000000001</v>
      </c>
      <c r="G258">
        <v>7.2999999999999995E-2</v>
      </c>
    </row>
    <row r="259" spans="1:7">
      <c r="A259">
        <v>1993</v>
      </c>
      <c r="B259">
        <v>0</v>
      </c>
      <c r="C259">
        <v>5.0000000000000001E-3</v>
      </c>
      <c r="D259">
        <v>0.245</v>
      </c>
      <c r="E259">
        <v>1</v>
      </c>
      <c r="F259">
        <v>0.63700000000000001</v>
      </c>
      <c r="G259">
        <v>7.2999999999999995E-2</v>
      </c>
    </row>
    <row r="260" spans="1:7">
      <c r="A260">
        <v>1994</v>
      </c>
      <c r="B260">
        <v>0</v>
      </c>
      <c r="C260">
        <v>5.0000000000000001E-3</v>
      </c>
      <c r="D260">
        <v>0.245</v>
      </c>
      <c r="E260">
        <v>1</v>
      </c>
      <c r="F260">
        <v>0.63700000000000001</v>
      </c>
      <c r="G260">
        <v>7.2999999999999995E-2</v>
      </c>
    </row>
    <row r="261" spans="1:7">
      <c r="A261">
        <v>1995</v>
      </c>
      <c r="B261">
        <v>0</v>
      </c>
      <c r="C261">
        <v>5.0000000000000001E-3</v>
      </c>
      <c r="D261">
        <v>0.245</v>
      </c>
      <c r="E261">
        <v>1</v>
      </c>
      <c r="F261">
        <v>0.63700000000000001</v>
      </c>
      <c r="G261">
        <v>7.2999999999999995E-2</v>
      </c>
    </row>
    <row r="262" spans="1:7">
      <c r="A262">
        <v>1996</v>
      </c>
      <c r="B262">
        <v>0</v>
      </c>
      <c r="C262">
        <v>5.0000000000000001E-3</v>
      </c>
      <c r="D262">
        <v>0.245</v>
      </c>
      <c r="E262">
        <v>1</v>
      </c>
      <c r="F262">
        <v>0.63700000000000001</v>
      </c>
      <c r="G262">
        <v>7.2999999999999995E-2</v>
      </c>
    </row>
    <row r="263" spans="1:7">
      <c r="A263">
        <v>1997</v>
      </c>
      <c r="B263">
        <v>0</v>
      </c>
      <c r="C263">
        <v>5.0000000000000001E-3</v>
      </c>
      <c r="D263">
        <v>0.245</v>
      </c>
      <c r="E263">
        <v>1</v>
      </c>
      <c r="F263">
        <v>0.63700000000000001</v>
      </c>
      <c r="G263">
        <v>7.2999999999999995E-2</v>
      </c>
    </row>
    <row r="264" spans="1:7">
      <c r="A264">
        <v>1998</v>
      </c>
      <c r="B264">
        <v>0</v>
      </c>
      <c r="C264">
        <v>5.0000000000000001E-3</v>
      </c>
      <c r="D264">
        <v>0.245</v>
      </c>
      <c r="E264">
        <v>1</v>
      </c>
      <c r="F264">
        <v>0.63700000000000001</v>
      </c>
      <c r="G264">
        <v>7.2999999999999995E-2</v>
      </c>
    </row>
    <row r="265" spans="1:7">
      <c r="A265">
        <v>1999</v>
      </c>
      <c r="B265">
        <v>0</v>
      </c>
      <c r="C265">
        <v>5.0000000000000001E-3</v>
      </c>
      <c r="D265">
        <v>0.245</v>
      </c>
      <c r="E265">
        <v>1</v>
      </c>
      <c r="F265">
        <v>0.63700000000000001</v>
      </c>
      <c r="G265">
        <v>7.2999999999999995E-2</v>
      </c>
    </row>
    <row r="266" spans="1:7">
      <c r="A266">
        <v>2000</v>
      </c>
      <c r="B266">
        <v>0</v>
      </c>
      <c r="C266">
        <v>5.0000000000000001E-3</v>
      </c>
      <c r="D266">
        <v>0.245</v>
      </c>
      <c r="E266">
        <v>1</v>
      </c>
      <c r="F266">
        <v>0.63700000000000001</v>
      </c>
      <c r="G266">
        <v>7.2999999999999995E-2</v>
      </c>
    </row>
    <row r="267" spans="1:7">
      <c r="A267">
        <v>2001</v>
      </c>
      <c r="B267">
        <v>0</v>
      </c>
      <c r="C267">
        <v>5.0000000000000001E-3</v>
      </c>
      <c r="D267">
        <v>0.245</v>
      </c>
      <c r="E267">
        <v>1</v>
      </c>
      <c r="F267">
        <v>0.63700000000000001</v>
      </c>
      <c r="G267">
        <v>7.2999999999999995E-2</v>
      </c>
    </row>
    <row r="268" spans="1:7">
      <c r="A268">
        <v>2002</v>
      </c>
      <c r="B268">
        <v>0</v>
      </c>
      <c r="C268">
        <v>5.0000000000000001E-3</v>
      </c>
      <c r="D268">
        <v>0.245</v>
      </c>
      <c r="E268">
        <v>1</v>
      </c>
      <c r="F268">
        <v>0.63700000000000001</v>
      </c>
      <c r="G268">
        <v>7.2999999999999995E-2</v>
      </c>
    </row>
    <row r="269" spans="1:7">
      <c r="A269">
        <v>2003</v>
      </c>
      <c r="B269">
        <v>0</v>
      </c>
      <c r="C269">
        <v>5.0000000000000001E-3</v>
      </c>
      <c r="D269">
        <v>0.245</v>
      </c>
      <c r="E269">
        <v>1</v>
      </c>
      <c r="F269">
        <v>0.63700000000000001</v>
      </c>
      <c r="G269">
        <v>7.2999999999999995E-2</v>
      </c>
    </row>
    <row r="270" spans="1:7">
      <c r="A270">
        <v>2004</v>
      </c>
      <c r="B270">
        <v>0</v>
      </c>
      <c r="C270">
        <v>5.0000000000000001E-3</v>
      </c>
      <c r="D270">
        <v>0.245</v>
      </c>
      <c r="E270">
        <v>1</v>
      </c>
      <c r="F270">
        <v>0.63700000000000001</v>
      </c>
      <c r="G270">
        <v>7.2999999999999995E-2</v>
      </c>
    </row>
    <row r="271" spans="1:7">
      <c r="A271">
        <v>2005</v>
      </c>
      <c r="B271">
        <v>0</v>
      </c>
      <c r="C271">
        <v>5.0000000000000001E-3</v>
      </c>
      <c r="D271">
        <v>0.245</v>
      </c>
      <c r="E271">
        <v>1</v>
      </c>
      <c r="F271">
        <v>0.63700000000000001</v>
      </c>
      <c r="G271">
        <v>7.2999999999999995E-2</v>
      </c>
    </row>
    <row r="272" spans="1:7">
      <c r="A272">
        <v>2006</v>
      </c>
      <c r="B272">
        <v>0</v>
      </c>
      <c r="C272">
        <v>5.0000000000000001E-3</v>
      </c>
      <c r="D272">
        <v>0.245</v>
      </c>
      <c r="E272">
        <v>1</v>
      </c>
      <c r="F272">
        <v>0.63700000000000001</v>
      </c>
      <c r="G272">
        <v>7.2999999999999995E-2</v>
      </c>
    </row>
    <row r="299" spans="1:7">
      <c r="A299" t="str">
        <f>'Titles and Variables'!C22</f>
        <v>VEN_LL</v>
      </c>
      <c r="B299" t="s">
        <v>61</v>
      </c>
    </row>
    <row r="300" spans="1:7">
      <c r="A300" t="s">
        <v>70</v>
      </c>
      <c r="B300" t="s">
        <v>71</v>
      </c>
      <c r="C300" t="s">
        <v>72</v>
      </c>
    </row>
    <row r="301" spans="1:7">
      <c r="A301" t="s">
        <v>68</v>
      </c>
      <c r="B301">
        <v>0</v>
      </c>
      <c r="C301">
        <v>1</v>
      </c>
      <c r="D301">
        <v>2</v>
      </c>
      <c r="E301">
        <v>3</v>
      </c>
      <c r="F301">
        <v>4</v>
      </c>
      <c r="G301">
        <v>5</v>
      </c>
    </row>
    <row r="302" spans="1:7">
      <c r="A302" t="s">
        <v>69</v>
      </c>
      <c r="B302" t="s">
        <v>73</v>
      </c>
      <c r="C302" t="s">
        <v>73</v>
      </c>
      <c r="D302" t="s">
        <v>73</v>
      </c>
      <c r="E302" t="s">
        <v>73</v>
      </c>
      <c r="F302" t="s">
        <v>73</v>
      </c>
      <c r="G302" t="s">
        <v>73</v>
      </c>
    </row>
    <row r="303" spans="1:7">
      <c r="A303">
        <v>1991</v>
      </c>
      <c r="B303">
        <v>0</v>
      </c>
      <c r="C303">
        <v>1.2E-2</v>
      </c>
      <c r="D303">
        <v>9.5000000000000001E-2</v>
      </c>
      <c r="E303">
        <v>0.7</v>
      </c>
      <c r="F303">
        <v>1</v>
      </c>
      <c r="G303">
        <v>0.71</v>
      </c>
    </row>
    <row r="304" spans="1:7">
      <c r="A304">
        <v>1992</v>
      </c>
      <c r="B304">
        <v>0</v>
      </c>
      <c r="C304">
        <v>1.2E-2</v>
      </c>
      <c r="D304">
        <v>9.5000000000000001E-2</v>
      </c>
      <c r="E304">
        <v>0.7</v>
      </c>
      <c r="F304">
        <v>1</v>
      </c>
      <c r="G304">
        <v>0.71</v>
      </c>
    </row>
    <row r="305" spans="1:7">
      <c r="A305">
        <v>1993</v>
      </c>
      <c r="B305">
        <v>0</v>
      </c>
      <c r="C305">
        <v>1.2E-2</v>
      </c>
      <c r="D305">
        <v>9.5000000000000001E-2</v>
      </c>
      <c r="E305">
        <v>0.7</v>
      </c>
      <c r="F305">
        <v>1</v>
      </c>
      <c r="G305">
        <v>0.71</v>
      </c>
    </row>
    <row r="306" spans="1:7">
      <c r="A306">
        <v>1994</v>
      </c>
      <c r="B306">
        <v>0</v>
      </c>
      <c r="C306">
        <v>1.2E-2</v>
      </c>
      <c r="D306">
        <v>9.5000000000000001E-2</v>
      </c>
      <c r="E306">
        <v>0.7</v>
      </c>
      <c r="F306">
        <v>1</v>
      </c>
      <c r="G306">
        <v>0.71</v>
      </c>
    </row>
    <row r="307" spans="1:7">
      <c r="A307">
        <v>1995</v>
      </c>
      <c r="B307">
        <v>0</v>
      </c>
      <c r="C307">
        <v>1.2E-2</v>
      </c>
      <c r="D307">
        <v>9.5000000000000001E-2</v>
      </c>
      <c r="E307">
        <v>0.7</v>
      </c>
      <c r="F307">
        <v>1</v>
      </c>
      <c r="G307">
        <v>0.71</v>
      </c>
    </row>
    <row r="308" spans="1:7">
      <c r="A308">
        <v>1996</v>
      </c>
      <c r="B308">
        <v>0</v>
      </c>
      <c r="C308">
        <v>1.2E-2</v>
      </c>
      <c r="D308">
        <v>9.5000000000000001E-2</v>
      </c>
      <c r="E308">
        <v>0.7</v>
      </c>
      <c r="F308">
        <v>1</v>
      </c>
      <c r="G308">
        <v>0.71</v>
      </c>
    </row>
    <row r="309" spans="1:7">
      <c r="A309">
        <v>1997</v>
      </c>
      <c r="B309">
        <v>0</v>
      </c>
      <c r="C309">
        <v>1.2E-2</v>
      </c>
      <c r="D309">
        <v>9.5000000000000001E-2</v>
      </c>
      <c r="E309">
        <v>0.7</v>
      </c>
      <c r="F309">
        <v>1</v>
      </c>
      <c r="G309">
        <v>0.71</v>
      </c>
    </row>
    <row r="310" spans="1:7">
      <c r="A310">
        <v>1998</v>
      </c>
      <c r="B310">
        <v>0</v>
      </c>
      <c r="C310">
        <v>1.2E-2</v>
      </c>
      <c r="D310">
        <v>9.5000000000000001E-2</v>
      </c>
      <c r="E310">
        <v>0.7</v>
      </c>
      <c r="F310">
        <v>1</v>
      </c>
      <c r="G310">
        <v>0.71</v>
      </c>
    </row>
    <row r="311" spans="1:7">
      <c r="A311">
        <v>1999</v>
      </c>
      <c r="B311">
        <v>0</v>
      </c>
      <c r="C311">
        <v>1.2E-2</v>
      </c>
      <c r="D311">
        <v>9.5000000000000001E-2</v>
      </c>
      <c r="E311">
        <v>0.7</v>
      </c>
      <c r="F311">
        <v>1</v>
      </c>
      <c r="G311">
        <v>0.71</v>
      </c>
    </row>
    <row r="312" spans="1:7">
      <c r="A312">
        <v>2000</v>
      </c>
      <c r="B312">
        <v>0</v>
      </c>
      <c r="C312">
        <v>1.2E-2</v>
      </c>
      <c r="D312">
        <v>9.5000000000000001E-2</v>
      </c>
      <c r="E312">
        <v>0.7</v>
      </c>
      <c r="F312">
        <v>1</v>
      </c>
      <c r="G312">
        <v>0.71</v>
      </c>
    </row>
    <row r="313" spans="1:7">
      <c r="A313">
        <v>2001</v>
      </c>
      <c r="B313">
        <v>0</v>
      </c>
      <c r="C313">
        <v>1.2E-2</v>
      </c>
      <c r="D313">
        <v>9.5000000000000001E-2</v>
      </c>
      <c r="E313">
        <v>0.7</v>
      </c>
      <c r="F313">
        <v>1</v>
      </c>
      <c r="G313">
        <v>0.71</v>
      </c>
    </row>
    <row r="349" spans="1:6">
      <c r="A349" t="str">
        <f>'Titles and Variables'!C23</f>
        <v>VEN_PS</v>
      </c>
      <c r="B349" t="s">
        <v>61</v>
      </c>
    </row>
    <row r="350" spans="1:6">
      <c r="A350" t="s">
        <v>70</v>
      </c>
      <c r="B350" t="s">
        <v>71</v>
      </c>
      <c r="C350" t="s">
        <v>72</v>
      </c>
    </row>
    <row r="351" spans="1:6">
      <c r="A351" t="s">
        <v>68</v>
      </c>
      <c r="B351">
        <v>0</v>
      </c>
      <c r="C351">
        <v>1</v>
      </c>
      <c r="D351">
        <v>2</v>
      </c>
      <c r="E351">
        <v>3</v>
      </c>
      <c r="F351">
        <v>4</v>
      </c>
    </row>
    <row r="352" spans="1:6">
      <c r="A352" t="s">
        <v>69</v>
      </c>
      <c r="B352" t="s">
        <v>73</v>
      </c>
      <c r="C352" t="s">
        <v>73</v>
      </c>
      <c r="D352" t="s">
        <v>73</v>
      </c>
      <c r="E352" t="s">
        <v>73</v>
      </c>
      <c r="F352" t="s">
        <v>73</v>
      </c>
    </row>
    <row r="353" spans="1:6">
      <c r="A353">
        <v>1983</v>
      </c>
      <c r="B353">
        <v>1.2E-2</v>
      </c>
      <c r="C353">
        <v>0.54</v>
      </c>
      <c r="D353">
        <v>0.79300000000000004</v>
      </c>
      <c r="E353">
        <v>1</v>
      </c>
      <c r="F353">
        <v>0.26100000000000001</v>
      </c>
    </row>
    <row r="354" spans="1:6">
      <c r="A354">
        <v>1984</v>
      </c>
      <c r="B354">
        <v>1.2E-2</v>
      </c>
      <c r="C354">
        <v>0.54</v>
      </c>
      <c r="D354">
        <v>0.79300000000000004</v>
      </c>
      <c r="E354">
        <v>1</v>
      </c>
      <c r="F354">
        <v>0.26100000000000001</v>
      </c>
    </row>
    <row r="355" spans="1:6">
      <c r="A355">
        <v>1985</v>
      </c>
      <c r="B355">
        <v>1.2E-2</v>
      </c>
      <c r="C355">
        <v>0.54</v>
      </c>
      <c r="D355">
        <v>0.79300000000000004</v>
      </c>
      <c r="E355">
        <v>1</v>
      </c>
      <c r="F355">
        <v>0.26100000000000001</v>
      </c>
    </row>
    <row r="356" spans="1:6">
      <c r="A356">
        <v>1986</v>
      </c>
      <c r="B356">
        <v>1.2E-2</v>
      </c>
      <c r="C356">
        <v>0.54</v>
      </c>
      <c r="D356">
        <v>0.79300000000000004</v>
      </c>
      <c r="E356">
        <v>1</v>
      </c>
      <c r="F356">
        <v>0.26100000000000001</v>
      </c>
    </row>
    <row r="357" spans="1:6">
      <c r="A357">
        <v>1987</v>
      </c>
      <c r="B357">
        <v>1.2E-2</v>
      </c>
      <c r="C357">
        <v>0.54</v>
      </c>
      <c r="D357">
        <v>0.79300000000000004</v>
      </c>
      <c r="E357">
        <v>1</v>
      </c>
      <c r="F357">
        <v>0.26100000000000001</v>
      </c>
    </row>
    <row r="358" spans="1:6">
      <c r="A358">
        <v>1988</v>
      </c>
      <c r="B358">
        <v>1.2E-2</v>
      </c>
      <c r="C358">
        <v>0.54</v>
      </c>
      <c r="D358">
        <v>0.79300000000000004</v>
      </c>
      <c r="E358">
        <v>1</v>
      </c>
      <c r="F358">
        <v>0.26100000000000001</v>
      </c>
    </row>
    <row r="359" spans="1:6">
      <c r="A359">
        <v>1989</v>
      </c>
      <c r="B359">
        <v>1.2E-2</v>
      </c>
      <c r="C359">
        <v>0.54</v>
      </c>
      <c r="D359">
        <v>0.79300000000000004</v>
      </c>
      <c r="E359">
        <v>1</v>
      </c>
      <c r="F359">
        <v>0.26100000000000001</v>
      </c>
    </row>
    <row r="360" spans="1:6">
      <c r="A360">
        <v>1990</v>
      </c>
      <c r="B360">
        <v>1.2E-2</v>
      </c>
      <c r="C360">
        <v>0.54</v>
      </c>
      <c r="D360">
        <v>0.79300000000000004</v>
      </c>
      <c r="E360">
        <v>1</v>
      </c>
      <c r="F360">
        <v>0.26100000000000001</v>
      </c>
    </row>
    <row r="361" spans="1:6">
      <c r="A361">
        <v>1991</v>
      </c>
      <c r="B361">
        <v>1.2E-2</v>
      </c>
      <c r="C361">
        <v>0.54</v>
      </c>
      <c r="D361">
        <v>0.79300000000000004</v>
      </c>
      <c r="E361">
        <v>1</v>
      </c>
      <c r="F361">
        <v>0.26100000000000001</v>
      </c>
    </row>
    <row r="362" spans="1:6">
      <c r="A362">
        <v>1992</v>
      </c>
      <c r="B362">
        <v>1.2E-2</v>
      </c>
      <c r="C362">
        <v>0.54</v>
      </c>
      <c r="D362">
        <v>0.79300000000000004</v>
      </c>
      <c r="E362">
        <v>1</v>
      </c>
      <c r="F362">
        <v>0.26100000000000001</v>
      </c>
    </row>
    <row r="363" spans="1:6">
      <c r="A363">
        <v>1993</v>
      </c>
      <c r="B363">
        <v>1.2E-2</v>
      </c>
      <c r="C363">
        <v>0.54</v>
      </c>
      <c r="D363">
        <v>0.79300000000000004</v>
      </c>
      <c r="E363">
        <v>1</v>
      </c>
      <c r="F363">
        <v>0.26100000000000001</v>
      </c>
    </row>
    <row r="364" spans="1:6">
      <c r="A364">
        <v>1994</v>
      </c>
      <c r="B364">
        <v>1.2E-2</v>
      </c>
      <c r="C364">
        <v>0.54</v>
      </c>
      <c r="D364">
        <v>0.79300000000000004</v>
      </c>
      <c r="E364">
        <v>1</v>
      </c>
      <c r="F364">
        <v>0.26100000000000001</v>
      </c>
    </row>
    <row r="365" spans="1:6">
      <c r="A365">
        <v>1995</v>
      </c>
      <c r="B365">
        <v>1.2E-2</v>
      </c>
      <c r="C365">
        <v>0.54</v>
      </c>
      <c r="D365">
        <v>0.79300000000000004</v>
      </c>
      <c r="E365">
        <v>1</v>
      </c>
      <c r="F365">
        <v>0.26100000000000001</v>
      </c>
    </row>
    <row r="366" spans="1:6">
      <c r="A366">
        <v>1996</v>
      </c>
      <c r="B366">
        <v>1.2E-2</v>
      </c>
      <c r="C366">
        <v>0.54</v>
      </c>
      <c r="D366">
        <v>0.79300000000000004</v>
      </c>
      <c r="E366">
        <v>1</v>
      </c>
      <c r="F366">
        <v>0.26100000000000001</v>
      </c>
    </row>
    <row r="367" spans="1:6">
      <c r="A367">
        <v>1997</v>
      </c>
      <c r="B367">
        <v>1.2E-2</v>
      </c>
      <c r="C367">
        <v>0.54</v>
      </c>
      <c r="D367">
        <v>0.79300000000000004</v>
      </c>
      <c r="E367">
        <v>1</v>
      </c>
      <c r="F367">
        <v>0.26100000000000001</v>
      </c>
    </row>
    <row r="368" spans="1:6">
      <c r="A368">
        <v>1998</v>
      </c>
      <c r="B368">
        <v>1.2E-2</v>
      </c>
      <c r="C368">
        <v>0.54</v>
      </c>
      <c r="D368">
        <v>0.79300000000000004</v>
      </c>
      <c r="E368">
        <v>1</v>
      </c>
      <c r="F368">
        <v>0.26100000000000001</v>
      </c>
    </row>
    <row r="369" spans="1:6">
      <c r="A369">
        <v>1999</v>
      </c>
      <c r="B369">
        <v>1.2E-2</v>
      </c>
      <c r="C369">
        <v>0.54</v>
      </c>
      <c r="D369">
        <v>0.79300000000000004</v>
      </c>
      <c r="E369">
        <v>1</v>
      </c>
      <c r="F369">
        <v>0.26100000000000001</v>
      </c>
    </row>
    <row r="370" spans="1:6">
      <c r="A370">
        <v>2000</v>
      </c>
      <c r="B370">
        <v>1.2E-2</v>
      </c>
      <c r="C370">
        <v>0.54</v>
      </c>
      <c r="D370">
        <v>0.79300000000000004</v>
      </c>
      <c r="E370">
        <v>1</v>
      </c>
      <c r="F370">
        <v>0.26100000000000001</v>
      </c>
    </row>
    <row r="371" spans="1:6">
      <c r="A371">
        <v>2001</v>
      </c>
      <c r="B371">
        <v>1.2E-2</v>
      </c>
      <c r="C371">
        <v>0.54</v>
      </c>
      <c r="D371">
        <v>0.79300000000000004</v>
      </c>
      <c r="E371">
        <v>1</v>
      </c>
      <c r="F371">
        <v>0.26100000000000001</v>
      </c>
    </row>
    <row r="372" spans="1:6">
      <c r="A372">
        <v>2002</v>
      </c>
      <c r="B372">
        <v>1.2E-2</v>
      </c>
      <c r="C372">
        <v>0.54</v>
      </c>
      <c r="D372">
        <v>0.79300000000000004</v>
      </c>
      <c r="E372">
        <v>1</v>
      </c>
      <c r="F372">
        <v>0.26100000000000001</v>
      </c>
    </row>
    <row r="373" spans="1:6">
      <c r="A373">
        <v>2003</v>
      </c>
      <c r="B373">
        <v>1.2E-2</v>
      </c>
      <c r="C373">
        <v>0.54</v>
      </c>
      <c r="D373">
        <v>0.79300000000000004</v>
      </c>
      <c r="E373">
        <v>1</v>
      </c>
      <c r="F373">
        <v>0.26100000000000001</v>
      </c>
    </row>
    <row r="374" spans="1:6">
      <c r="A374">
        <v>2004</v>
      </c>
      <c r="B374">
        <v>1.2E-2</v>
      </c>
      <c r="C374">
        <v>0.54</v>
      </c>
      <c r="D374">
        <v>0.79300000000000004</v>
      </c>
      <c r="E374">
        <v>1</v>
      </c>
      <c r="F374">
        <v>0.26100000000000001</v>
      </c>
    </row>
    <row r="375" spans="1:6">
      <c r="A375">
        <v>2005</v>
      </c>
      <c r="B375">
        <v>1.2E-2</v>
      </c>
      <c r="C375">
        <v>0.54</v>
      </c>
      <c r="D375">
        <v>0.79300000000000004</v>
      </c>
      <c r="E375">
        <v>1</v>
      </c>
      <c r="F375">
        <v>0.26100000000000001</v>
      </c>
    </row>
    <row r="399" spans="1:3">
      <c r="A399" t="str">
        <f>'Titles and Variables'!C24</f>
        <v>EUR-FAD-PS</v>
      </c>
      <c r="B399" t="s">
        <v>61</v>
      </c>
    </row>
    <row r="400" spans="1:3">
      <c r="A400" t="s">
        <v>70</v>
      </c>
      <c r="B400" t="s">
        <v>71</v>
      </c>
      <c r="C400" t="s">
        <v>72</v>
      </c>
    </row>
    <row r="401" spans="1:3">
      <c r="A401" t="s">
        <v>68</v>
      </c>
      <c r="B401">
        <v>0</v>
      </c>
      <c r="C401">
        <v>1</v>
      </c>
    </row>
    <row r="402" spans="1:3">
      <c r="A402" t="s">
        <v>69</v>
      </c>
      <c r="B402" t="s">
        <v>73</v>
      </c>
      <c r="C402" t="s">
        <v>73</v>
      </c>
    </row>
    <row r="403" spans="1:3">
      <c r="A403">
        <v>1991</v>
      </c>
      <c r="B403">
        <v>0.75800000000000001</v>
      </c>
      <c r="C403">
        <v>1</v>
      </c>
    </row>
    <row r="404" spans="1:3">
      <c r="A404">
        <v>1992</v>
      </c>
      <c r="B404">
        <v>0.75800000000000001</v>
      </c>
      <c r="C404">
        <v>1</v>
      </c>
    </row>
    <row r="405" spans="1:3">
      <c r="A405">
        <v>1993</v>
      </c>
      <c r="B405">
        <v>0.75800000000000001</v>
      </c>
      <c r="C405">
        <v>1</v>
      </c>
    </row>
    <row r="406" spans="1:3">
      <c r="A406">
        <v>1994</v>
      </c>
      <c r="B406">
        <v>0.75800000000000001</v>
      </c>
      <c r="C406">
        <v>1</v>
      </c>
    </row>
    <row r="407" spans="1:3">
      <c r="A407">
        <v>1995</v>
      </c>
      <c r="B407">
        <v>0.75800000000000001</v>
      </c>
      <c r="C407">
        <v>1</v>
      </c>
    </row>
    <row r="408" spans="1:3">
      <c r="A408">
        <v>1996</v>
      </c>
      <c r="B408">
        <v>0.75800000000000001</v>
      </c>
      <c r="C408">
        <v>1</v>
      </c>
    </row>
    <row r="409" spans="1:3">
      <c r="A409">
        <v>1997</v>
      </c>
      <c r="B409">
        <v>0.75800000000000001</v>
      </c>
      <c r="C409">
        <v>1</v>
      </c>
    </row>
    <row r="410" spans="1:3">
      <c r="A410">
        <v>1998</v>
      </c>
      <c r="B410">
        <v>0.75800000000000001</v>
      </c>
      <c r="C410">
        <v>1</v>
      </c>
    </row>
    <row r="411" spans="1:3">
      <c r="A411">
        <v>1999</v>
      </c>
      <c r="B411">
        <v>0.75800000000000001</v>
      </c>
      <c r="C411">
        <v>1</v>
      </c>
    </row>
    <row r="412" spans="1:3">
      <c r="A412">
        <v>2000</v>
      </c>
      <c r="B412">
        <v>0.75800000000000001</v>
      </c>
      <c r="C412">
        <v>1</v>
      </c>
    </row>
    <row r="413" spans="1:3">
      <c r="A413">
        <v>2001</v>
      </c>
      <c r="B413">
        <v>0.75800000000000001</v>
      </c>
      <c r="C413">
        <v>1</v>
      </c>
    </row>
    <row r="414" spans="1:3">
      <c r="A414">
        <v>2002</v>
      </c>
      <c r="B414">
        <v>0.75800000000000001</v>
      </c>
      <c r="C414">
        <v>1</v>
      </c>
    </row>
    <row r="415" spans="1:3">
      <c r="A415">
        <v>2003</v>
      </c>
      <c r="B415">
        <v>0.75800000000000001</v>
      </c>
      <c r="C415">
        <v>1</v>
      </c>
    </row>
    <row r="416" spans="1:3">
      <c r="A416">
        <v>2004</v>
      </c>
      <c r="B416">
        <v>0.75800000000000001</v>
      </c>
      <c r="C416">
        <v>1</v>
      </c>
    </row>
    <row r="417" spans="1:3">
      <c r="A417">
        <v>2005</v>
      </c>
      <c r="B417">
        <v>0.75800000000000001</v>
      </c>
      <c r="C417">
        <v>1</v>
      </c>
    </row>
    <row r="418" spans="1:3">
      <c r="A418">
        <v>2006</v>
      </c>
      <c r="B418">
        <v>0.75800000000000001</v>
      </c>
      <c r="C418">
        <v>1</v>
      </c>
    </row>
    <row r="449" spans="1:7">
      <c r="A449" t="str">
        <f>'Titles and Variables'!C25</f>
        <v>EUR-PS 3%</v>
      </c>
      <c r="B449" t="s">
        <v>61</v>
      </c>
    </row>
    <row r="450" spans="1:7">
      <c r="A450" t="s">
        <v>70</v>
      </c>
      <c r="B450" t="s">
        <v>71</v>
      </c>
      <c r="C450" t="s">
        <v>72</v>
      </c>
    </row>
    <row r="451" spans="1:7">
      <c r="A451" t="s">
        <v>68</v>
      </c>
      <c r="B451">
        <v>0</v>
      </c>
      <c r="C451">
        <v>1</v>
      </c>
      <c r="D451">
        <v>2</v>
      </c>
      <c r="E451">
        <v>3</v>
      </c>
      <c r="F451">
        <v>4</v>
      </c>
      <c r="G451">
        <v>5</v>
      </c>
    </row>
    <row r="452" spans="1:7">
      <c r="A452" t="s">
        <v>69</v>
      </c>
      <c r="B452" t="s">
        <v>73</v>
      </c>
      <c r="C452" t="s">
        <v>73</v>
      </c>
      <c r="D452" t="s">
        <v>73</v>
      </c>
      <c r="E452" t="s">
        <v>73</v>
      </c>
      <c r="F452" t="s">
        <v>73</v>
      </c>
      <c r="G452" t="s">
        <v>73</v>
      </c>
    </row>
    <row r="453" spans="1:7">
      <c r="A453">
        <v>1970</v>
      </c>
      <c r="B453">
        <v>2.4E-2</v>
      </c>
      <c r="C453">
        <v>0.16800000000000001</v>
      </c>
      <c r="D453">
        <v>0.28399999999999997</v>
      </c>
      <c r="E453">
        <v>0.47699999999999998</v>
      </c>
      <c r="F453">
        <v>1</v>
      </c>
      <c r="G453">
        <v>0.51800000000000002</v>
      </c>
    </row>
    <row r="454" spans="1:7">
      <c r="A454">
        <v>1971</v>
      </c>
      <c r="B454">
        <v>2.4E-2</v>
      </c>
      <c r="C454">
        <v>0.16800000000000001</v>
      </c>
      <c r="D454">
        <v>0.28399999999999997</v>
      </c>
      <c r="E454">
        <v>0.47699999999999998</v>
      </c>
      <c r="F454">
        <v>1</v>
      </c>
      <c r="G454">
        <v>0.51800000000000002</v>
      </c>
    </row>
    <row r="455" spans="1:7">
      <c r="A455">
        <v>1972</v>
      </c>
      <c r="B455">
        <v>2.4E-2</v>
      </c>
      <c r="C455">
        <v>0.16800000000000001</v>
      </c>
      <c r="D455">
        <v>0.28399999999999997</v>
      </c>
      <c r="E455">
        <v>0.47699999999999998</v>
      </c>
      <c r="F455">
        <v>1</v>
      </c>
      <c r="G455">
        <v>0.51800000000000002</v>
      </c>
    </row>
    <row r="456" spans="1:7">
      <c r="A456">
        <v>1973</v>
      </c>
      <c r="B456">
        <v>2.4E-2</v>
      </c>
      <c r="C456">
        <v>0.16800000000000001</v>
      </c>
      <c r="D456">
        <v>0.28399999999999997</v>
      </c>
      <c r="E456">
        <v>0.47699999999999998</v>
      </c>
      <c r="F456">
        <v>1</v>
      </c>
      <c r="G456">
        <v>0.51800000000000002</v>
      </c>
    </row>
    <row r="457" spans="1:7">
      <c r="A457">
        <v>1974</v>
      </c>
      <c r="B457">
        <v>2.4E-2</v>
      </c>
      <c r="C457">
        <v>0.16800000000000001</v>
      </c>
      <c r="D457">
        <v>0.28399999999999997</v>
      </c>
      <c r="E457">
        <v>0.47699999999999998</v>
      </c>
      <c r="F457">
        <v>1</v>
      </c>
      <c r="G457">
        <v>0.51800000000000002</v>
      </c>
    </row>
    <row r="458" spans="1:7">
      <c r="A458">
        <v>1975</v>
      </c>
      <c r="B458">
        <v>2.4E-2</v>
      </c>
      <c r="C458">
        <v>0.16800000000000001</v>
      </c>
      <c r="D458">
        <v>0.28399999999999997</v>
      </c>
      <c r="E458">
        <v>0.47699999999999998</v>
      </c>
      <c r="F458">
        <v>1</v>
      </c>
      <c r="G458">
        <v>0.51800000000000002</v>
      </c>
    </row>
    <row r="459" spans="1:7">
      <c r="A459">
        <v>1976</v>
      </c>
      <c r="B459">
        <v>2.4E-2</v>
      </c>
      <c r="C459">
        <v>0.16800000000000001</v>
      </c>
      <c r="D459">
        <v>0.28399999999999997</v>
      </c>
      <c r="E459">
        <v>0.47699999999999998</v>
      </c>
      <c r="F459">
        <v>1</v>
      </c>
      <c r="G459">
        <v>0.51800000000000002</v>
      </c>
    </row>
    <row r="460" spans="1:7">
      <c r="A460">
        <v>1977</v>
      </c>
      <c r="B460">
        <v>2.4E-2</v>
      </c>
      <c r="C460">
        <v>0.16800000000000001</v>
      </c>
      <c r="D460">
        <v>0.28399999999999997</v>
      </c>
      <c r="E460">
        <v>0.47699999999999998</v>
      </c>
      <c r="F460">
        <v>1</v>
      </c>
      <c r="G460">
        <v>0.51800000000000002</v>
      </c>
    </row>
    <row r="461" spans="1:7">
      <c r="A461">
        <v>1978</v>
      </c>
      <c r="B461">
        <v>2.4E-2</v>
      </c>
      <c r="C461">
        <v>0.16800000000000001</v>
      </c>
      <c r="D461">
        <v>0.28399999999999997</v>
      </c>
      <c r="E461">
        <v>0.47699999999999998</v>
      </c>
      <c r="F461">
        <v>1</v>
      </c>
      <c r="G461">
        <v>0.51800000000000002</v>
      </c>
    </row>
    <row r="462" spans="1:7">
      <c r="A462">
        <v>1979</v>
      </c>
      <c r="B462">
        <v>2.4E-2</v>
      </c>
      <c r="C462">
        <v>0.16800000000000001</v>
      </c>
      <c r="D462">
        <v>0.28399999999999997</v>
      </c>
      <c r="E462">
        <v>0.47699999999999998</v>
      </c>
      <c r="F462">
        <v>1</v>
      </c>
      <c r="G462">
        <v>0.51800000000000002</v>
      </c>
    </row>
    <row r="499" spans="1:6">
      <c r="A499" t="str">
        <f>'Titles and Variables'!C26</f>
        <v>EU-DAKAR</v>
      </c>
      <c r="B499" t="s">
        <v>61</v>
      </c>
    </row>
    <row r="500" spans="1:6">
      <c r="A500" t="s">
        <v>70</v>
      </c>
      <c r="B500" t="s">
        <v>71</v>
      </c>
      <c r="C500" t="s">
        <v>72</v>
      </c>
    </row>
    <row r="501" spans="1:6">
      <c r="A501" t="s">
        <v>68</v>
      </c>
      <c r="B501">
        <v>0</v>
      </c>
      <c r="C501">
        <v>1</v>
      </c>
      <c r="D501">
        <v>2</v>
      </c>
      <c r="E501">
        <v>3</v>
      </c>
      <c r="F501">
        <v>4</v>
      </c>
    </row>
    <row r="502" spans="1:6">
      <c r="A502" t="s">
        <v>69</v>
      </c>
      <c r="B502" t="s">
        <v>73</v>
      </c>
      <c r="C502" t="s">
        <v>73</v>
      </c>
      <c r="D502" t="s">
        <v>73</v>
      </c>
      <c r="E502" t="s">
        <v>73</v>
      </c>
      <c r="F502" t="s">
        <v>73</v>
      </c>
    </row>
    <row r="503" spans="1:6">
      <c r="A503">
        <v>1970</v>
      </c>
      <c r="B503">
        <v>5.7000000000000002E-2</v>
      </c>
      <c r="C503">
        <v>1</v>
      </c>
      <c r="D503">
        <v>0.72</v>
      </c>
      <c r="E503">
        <v>0.23699999999999999</v>
      </c>
      <c r="F503">
        <v>8.1000000000000003E-2</v>
      </c>
    </row>
    <row r="504" spans="1:6">
      <c r="A504">
        <v>1971</v>
      </c>
      <c r="B504">
        <v>5.7000000000000002E-2</v>
      </c>
      <c r="C504">
        <v>1</v>
      </c>
      <c r="D504">
        <v>0.72</v>
      </c>
      <c r="E504">
        <v>0.23699999999999999</v>
      </c>
      <c r="F504">
        <v>8.1000000000000003E-2</v>
      </c>
    </row>
    <row r="505" spans="1:6">
      <c r="A505">
        <v>1972</v>
      </c>
      <c r="B505">
        <v>5.7000000000000002E-2</v>
      </c>
      <c r="C505">
        <v>1</v>
      </c>
      <c r="D505">
        <v>0.72</v>
      </c>
      <c r="E505">
        <v>0.23699999999999999</v>
      </c>
      <c r="F505">
        <v>8.1000000000000003E-2</v>
      </c>
    </row>
    <row r="506" spans="1:6">
      <c r="A506">
        <v>1973</v>
      </c>
      <c r="B506">
        <v>5.7000000000000002E-2</v>
      </c>
      <c r="C506">
        <v>1</v>
      </c>
      <c r="D506">
        <v>0.72</v>
      </c>
      <c r="E506">
        <v>0.23699999999999999</v>
      </c>
      <c r="F506">
        <v>8.1000000000000003E-2</v>
      </c>
    </row>
    <row r="507" spans="1:6">
      <c r="A507">
        <v>1974</v>
      </c>
      <c r="B507">
        <v>5.7000000000000002E-2</v>
      </c>
      <c r="C507">
        <v>1</v>
      </c>
      <c r="D507">
        <v>0.72</v>
      </c>
      <c r="E507">
        <v>0.23699999999999999</v>
      </c>
      <c r="F507">
        <v>8.1000000000000003E-2</v>
      </c>
    </row>
    <row r="508" spans="1:6">
      <c r="A508">
        <v>1975</v>
      </c>
      <c r="B508">
        <v>5.7000000000000002E-2</v>
      </c>
      <c r="C508">
        <v>1</v>
      </c>
      <c r="D508">
        <v>0.72</v>
      </c>
      <c r="E508">
        <v>0.23699999999999999</v>
      </c>
      <c r="F508">
        <v>8.1000000000000003E-2</v>
      </c>
    </row>
    <row r="509" spans="1:6">
      <c r="A509">
        <v>1976</v>
      </c>
      <c r="B509">
        <v>5.7000000000000002E-2</v>
      </c>
      <c r="C509">
        <v>1</v>
      </c>
      <c r="D509">
        <v>0.72</v>
      </c>
      <c r="E509">
        <v>0.23699999999999999</v>
      </c>
      <c r="F509">
        <v>8.1000000000000003E-2</v>
      </c>
    </row>
    <row r="510" spans="1:6">
      <c r="A510">
        <v>1977</v>
      </c>
      <c r="B510">
        <v>5.7000000000000002E-2</v>
      </c>
      <c r="C510">
        <v>1</v>
      </c>
      <c r="D510">
        <v>0.72</v>
      </c>
      <c r="E510">
        <v>0.23699999999999999</v>
      </c>
      <c r="F510">
        <v>8.1000000000000003E-2</v>
      </c>
    </row>
    <row r="511" spans="1:6">
      <c r="A511">
        <v>1978</v>
      </c>
      <c r="B511">
        <v>5.7000000000000002E-2</v>
      </c>
      <c r="C511">
        <v>1</v>
      </c>
      <c r="D511">
        <v>0.72</v>
      </c>
      <c r="E511">
        <v>0.23699999999999999</v>
      </c>
      <c r="F511">
        <v>8.1000000000000003E-2</v>
      </c>
    </row>
    <row r="512" spans="1:6">
      <c r="A512">
        <v>1979</v>
      </c>
      <c r="B512">
        <v>5.7000000000000002E-2</v>
      </c>
      <c r="C512">
        <v>1</v>
      </c>
      <c r="D512">
        <v>0.72</v>
      </c>
      <c r="E512">
        <v>0.23699999999999999</v>
      </c>
      <c r="F512">
        <v>8.1000000000000003E-2</v>
      </c>
    </row>
    <row r="513" spans="1:6">
      <c r="A513">
        <v>1981</v>
      </c>
      <c r="B513">
        <v>5.7000000000000002E-2</v>
      </c>
      <c r="C513">
        <v>1</v>
      </c>
      <c r="D513">
        <v>0.72</v>
      </c>
      <c r="E513">
        <v>0.23699999999999999</v>
      </c>
      <c r="F513">
        <v>8.1000000000000003E-2</v>
      </c>
    </row>
    <row r="514" spans="1:6">
      <c r="A514">
        <v>1982</v>
      </c>
      <c r="B514">
        <v>5.7000000000000002E-2</v>
      </c>
      <c r="C514">
        <v>1</v>
      </c>
      <c r="D514">
        <v>0.72</v>
      </c>
      <c r="E514">
        <v>0.23699999999999999</v>
      </c>
      <c r="F514">
        <v>8.1000000000000003E-2</v>
      </c>
    </row>
    <row r="515" spans="1:6">
      <c r="A515">
        <v>1983</v>
      </c>
      <c r="B515">
        <v>5.7000000000000002E-2</v>
      </c>
      <c r="C515">
        <v>1</v>
      </c>
      <c r="D515">
        <v>0.72</v>
      </c>
      <c r="E515">
        <v>0.23699999999999999</v>
      </c>
      <c r="F515">
        <v>8.1000000000000003E-2</v>
      </c>
    </row>
    <row r="516" spans="1:6">
      <c r="A516">
        <v>1984</v>
      </c>
      <c r="B516">
        <v>5.7000000000000002E-2</v>
      </c>
      <c r="C516">
        <v>1</v>
      </c>
      <c r="D516">
        <v>0.72</v>
      </c>
      <c r="E516">
        <v>0.23699999999999999</v>
      </c>
      <c r="F516">
        <v>8.1000000000000003E-2</v>
      </c>
    </row>
    <row r="517" spans="1:6">
      <c r="A517">
        <v>1985</v>
      </c>
      <c r="B517">
        <v>5.7000000000000002E-2</v>
      </c>
      <c r="C517">
        <v>1</v>
      </c>
      <c r="D517">
        <v>0.72</v>
      </c>
      <c r="E517">
        <v>0.23699999999999999</v>
      </c>
      <c r="F517">
        <v>8.1000000000000003E-2</v>
      </c>
    </row>
    <row r="518" spans="1:6">
      <c r="A518">
        <v>1986</v>
      </c>
      <c r="B518">
        <v>5.7000000000000002E-2</v>
      </c>
      <c r="C518">
        <v>1</v>
      </c>
      <c r="D518">
        <v>0.72</v>
      </c>
      <c r="E518">
        <v>0.23699999999999999</v>
      </c>
      <c r="F518">
        <v>8.1000000000000003E-2</v>
      </c>
    </row>
    <row r="519" spans="1:6">
      <c r="A519">
        <v>1987</v>
      </c>
      <c r="B519">
        <v>5.7000000000000002E-2</v>
      </c>
      <c r="C519">
        <v>1</v>
      </c>
      <c r="D519">
        <v>0.72</v>
      </c>
      <c r="E519">
        <v>0.23699999999999999</v>
      </c>
      <c r="F519">
        <v>8.1000000000000003E-2</v>
      </c>
    </row>
    <row r="520" spans="1:6">
      <c r="A520">
        <v>1988</v>
      </c>
      <c r="B520">
        <v>5.7000000000000002E-2</v>
      </c>
      <c r="C520">
        <v>1</v>
      </c>
      <c r="D520">
        <v>0.72</v>
      </c>
      <c r="E520">
        <v>0.23699999999999999</v>
      </c>
      <c r="F520">
        <v>8.1000000000000003E-2</v>
      </c>
    </row>
    <row r="521" spans="1:6">
      <c r="A521">
        <v>1989</v>
      </c>
      <c r="B521">
        <v>5.7000000000000002E-2</v>
      </c>
      <c r="C521">
        <v>1</v>
      </c>
      <c r="D521">
        <v>0.72</v>
      </c>
      <c r="E521">
        <v>0.23699999999999999</v>
      </c>
      <c r="F521">
        <v>8.1000000000000003E-2</v>
      </c>
    </row>
    <row r="522" spans="1:6">
      <c r="A522">
        <v>1990</v>
      </c>
      <c r="B522">
        <v>5.7000000000000002E-2</v>
      </c>
      <c r="C522">
        <v>1</v>
      </c>
      <c r="D522">
        <v>0.72</v>
      </c>
      <c r="E522">
        <v>0.23699999999999999</v>
      </c>
      <c r="F522">
        <v>8.1000000000000003E-2</v>
      </c>
    </row>
    <row r="523" spans="1:6">
      <c r="A523">
        <v>1991</v>
      </c>
      <c r="B523">
        <v>5.7000000000000002E-2</v>
      </c>
      <c r="C523">
        <v>1</v>
      </c>
      <c r="D523">
        <v>0.72</v>
      </c>
      <c r="E523">
        <v>0.23699999999999999</v>
      </c>
      <c r="F523">
        <v>8.1000000000000003E-2</v>
      </c>
    </row>
    <row r="524" spans="1:6">
      <c r="A524">
        <v>1992</v>
      </c>
      <c r="B524">
        <v>5.7000000000000002E-2</v>
      </c>
      <c r="C524">
        <v>1</v>
      </c>
      <c r="D524">
        <v>0.72</v>
      </c>
      <c r="E524">
        <v>0.23699999999999999</v>
      </c>
      <c r="F524">
        <v>8.1000000000000003E-2</v>
      </c>
    </row>
    <row r="525" spans="1:6">
      <c r="A525">
        <v>1993</v>
      </c>
      <c r="B525">
        <v>5.7000000000000002E-2</v>
      </c>
      <c r="C525">
        <v>1</v>
      </c>
      <c r="D525">
        <v>0.72</v>
      </c>
      <c r="E525">
        <v>0.23699999999999999</v>
      </c>
      <c r="F525">
        <v>8.1000000000000003E-2</v>
      </c>
    </row>
    <row r="526" spans="1:6">
      <c r="A526">
        <v>1994</v>
      </c>
      <c r="B526">
        <v>5.7000000000000002E-2</v>
      </c>
      <c r="C526">
        <v>1</v>
      </c>
      <c r="D526">
        <v>0.72</v>
      </c>
      <c r="E526">
        <v>0.23699999999999999</v>
      </c>
      <c r="F526">
        <v>8.1000000000000003E-2</v>
      </c>
    </row>
    <row r="527" spans="1:6">
      <c r="A527">
        <v>1995</v>
      </c>
      <c r="B527">
        <v>5.7000000000000002E-2</v>
      </c>
      <c r="C527">
        <v>1</v>
      </c>
      <c r="D527">
        <v>0.72</v>
      </c>
      <c r="E527">
        <v>0.23699999999999999</v>
      </c>
      <c r="F527">
        <v>8.1000000000000003E-2</v>
      </c>
    </row>
    <row r="528" spans="1:6">
      <c r="A528">
        <v>1996</v>
      </c>
      <c r="B528">
        <v>5.7000000000000002E-2</v>
      </c>
      <c r="C528">
        <v>1</v>
      </c>
      <c r="D528">
        <v>0.72</v>
      </c>
      <c r="E528">
        <v>0.23699999999999999</v>
      </c>
      <c r="F528">
        <v>8.1000000000000003E-2</v>
      </c>
    </row>
    <row r="529" spans="1:6">
      <c r="A529">
        <v>1997</v>
      </c>
      <c r="B529">
        <v>5.7000000000000002E-2</v>
      </c>
      <c r="C529">
        <v>1</v>
      </c>
      <c r="D529">
        <v>0.72</v>
      </c>
      <c r="E529">
        <v>0.23699999999999999</v>
      </c>
      <c r="F529">
        <v>8.1000000000000003E-2</v>
      </c>
    </row>
    <row r="530" spans="1:6">
      <c r="A530">
        <v>1998</v>
      </c>
      <c r="B530">
        <v>5.7000000000000002E-2</v>
      </c>
      <c r="C530">
        <v>1</v>
      </c>
      <c r="D530">
        <v>0.72</v>
      </c>
      <c r="E530">
        <v>0.23699999999999999</v>
      </c>
      <c r="F530">
        <v>8.1000000000000003E-2</v>
      </c>
    </row>
    <row r="531" spans="1:6">
      <c r="A531">
        <v>1999</v>
      </c>
      <c r="B531">
        <v>5.7000000000000002E-2</v>
      </c>
      <c r="C531">
        <v>1</v>
      </c>
      <c r="D531">
        <v>0.72</v>
      </c>
      <c r="E531">
        <v>0.23699999999999999</v>
      </c>
      <c r="F531">
        <v>8.1000000000000003E-2</v>
      </c>
    </row>
    <row r="532" spans="1:6">
      <c r="A532">
        <v>2000</v>
      </c>
      <c r="B532">
        <v>5.7000000000000002E-2</v>
      </c>
      <c r="C532">
        <v>1</v>
      </c>
      <c r="D532">
        <v>0.72</v>
      </c>
      <c r="E532">
        <v>0.23699999999999999</v>
      </c>
      <c r="F532">
        <v>8.1000000000000003E-2</v>
      </c>
    </row>
    <row r="533" spans="1:6">
      <c r="A533">
        <v>2001</v>
      </c>
      <c r="B533">
        <v>5.7000000000000002E-2</v>
      </c>
      <c r="C533">
        <v>1</v>
      </c>
      <c r="D533">
        <v>0.72</v>
      </c>
      <c r="E533">
        <v>0.23699999999999999</v>
      </c>
      <c r="F533">
        <v>8.1000000000000003E-2</v>
      </c>
    </row>
    <row r="534" spans="1:6">
      <c r="A534">
        <v>2002</v>
      </c>
      <c r="B534">
        <v>5.7000000000000002E-2</v>
      </c>
      <c r="C534">
        <v>1</v>
      </c>
      <c r="D534">
        <v>0.72</v>
      </c>
      <c r="E534">
        <v>0.23699999999999999</v>
      </c>
      <c r="F534">
        <v>8.1000000000000003E-2</v>
      </c>
    </row>
    <row r="535" spans="1:6">
      <c r="A535">
        <v>2003</v>
      </c>
      <c r="B535">
        <v>5.7000000000000002E-2</v>
      </c>
      <c r="C535">
        <v>1</v>
      </c>
      <c r="D535">
        <v>0.72</v>
      </c>
      <c r="E535">
        <v>0.23699999999999999</v>
      </c>
      <c r="F535">
        <v>8.1000000000000003E-2</v>
      </c>
    </row>
    <row r="536" spans="1:6">
      <c r="A536">
        <v>2004</v>
      </c>
      <c r="B536">
        <v>5.7000000000000002E-2</v>
      </c>
      <c r="C536">
        <v>1</v>
      </c>
      <c r="D536">
        <v>0.72</v>
      </c>
      <c r="E536">
        <v>0.23699999999999999</v>
      </c>
      <c r="F536">
        <v>8.1000000000000003E-2</v>
      </c>
    </row>
    <row r="537" spans="1:6">
      <c r="A537">
        <v>2005</v>
      </c>
      <c r="B537">
        <v>5.7000000000000002E-2</v>
      </c>
      <c r="C537">
        <v>1</v>
      </c>
      <c r="D537">
        <v>0.72</v>
      </c>
      <c r="E537">
        <v>0.23699999999999999</v>
      </c>
      <c r="F537">
        <v>8.1000000000000003E-2</v>
      </c>
    </row>
    <row r="538" spans="1:6">
      <c r="A538">
        <v>2006</v>
      </c>
      <c r="B538">
        <v>5.7000000000000002E-2</v>
      </c>
      <c r="C538">
        <v>1</v>
      </c>
      <c r="D538">
        <v>0.72</v>
      </c>
      <c r="E538">
        <v>0.23699999999999999</v>
      </c>
      <c r="F538">
        <v>8.1000000000000003E-2</v>
      </c>
    </row>
    <row r="549" spans="1:7">
      <c r="A549" t="str">
        <f>'Titles and Variables'!C27</f>
        <v>URU-LL</v>
      </c>
      <c r="B549" t="s">
        <v>61</v>
      </c>
    </row>
    <row r="550" spans="1:7">
      <c r="A550" t="s">
        <v>70</v>
      </c>
      <c r="B550" t="s">
        <v>71</v>
      </c>
      <c r="C550" t="s">
        <v>72</v>
      </c>
    </row>
    <row r="551" spans="1:7">
      <c r="A551" t="s">
        <v>68</v>
      </c>
      <c r="B551">
        <v>0</v>
      </c>
      <c r="C551">
        <v>1</v>
      </c>
      <c r="D551">
        <v>2</v>
      </c>
      <c r="E551">
        <v>3</v>
      </c>
      <c r="F551">
        <v>4</v>
      </c>
      <c r="G551">
        <v>5</v>
      </c>
    </row>
    <row r="552" spans="1:7">
      <c r="A552" t="s">
        <v>69</v>
      </c>
      <c r="B552" t="s">
        <v>73</v>
      </c>
      <c r="C552" t="s">
        <v>73</v>
      </c>
      <c r="D552" t="s">
        <v>73</v>
      </c>
      <c r="E552" t="s">
        <v>73</v>
      </c>
      <c r="F552" t="s">
        <v>73</v>
      </c>
      <c r="G552" t="s">
        <v>73</v>
      </c>
    </row>
    <row r="553" spans="1:7">
      <c r="A553">
        <v>1981</v>
      </c>
      <c r="B553">
        <v>0</v>
      </c>
      <c r="C553">
        <v>3.1E-2</v>
      </c>
      <c r="D553">
        <v>0.52500000000000002</v>
      </c>
      <c r="E553">
        <v>1</v>
      </c>
      <c r="F553">
        <v>0.72399999999999998</v>
      </c>
      <c r="G553">
        <v>0.215</v>
      </c>
    </row>
    <row r="554" spans="1:7">
      <c r="A554">
        <v>1982</v>
      </c>
      <c r="B554">
        <v>0</v>
      </c>
      <c r="C554">
        <v>3.1E-2</v>
      </c>
      <c r="D554">
        <v>0.52500000000000002</v>
      </c>
      <c r="E554">
        <v>1</v>
      </c>
      <c r="F554">
        <v>0.72399999999999998</v>
      </c>
      <c r="G554">
        <v>0.215</v>
      </c>
    </row>
    <row r="555" spans="1:7">
      <c r="A555">
        <v>1983</v>
      </c>
      <c r="B555">
        <v>0</v>
      </c>
      <c r="C555">
        <v>3.1E-2</v>
      </c>
      <c r="D555">
        <v>0.52500000000000002</v>
      </c>
      <c r="E555">
        <v>1</v>
      </c>
      <c r="F555">
        <v>0.72399999999999998</v>
      </c>
      <c r="G555">
        <v>0.215</v>
      </c>
    </row>
    <row r="556" spans="1:7">
      <c r="A556">
        <v>1984</v>
      </c>
      <c r="B556">
        <v>0</v>
      </c>
      <c r="C556">
        <v>3.1E-2</v>
      </c>
      <c r="D556">
        <v>0.52500000000000002</v>
      </c>
      <c r="E556">
        <v>1</v>
      </c>
      <c r="F556">
        <v>0.72399999999999998</v>
      </c>
      <c r="G556">
        <v>0.215</v>
      </c>
    </row>
    <row r="557" spans="1:7">
      <c r="A557">
        <v>1985</v>
      </c>
      <c r="B557">
        <v>0</v>
      </c>
      <c r="C557">
        <v>3.1E-2</v>
      </c>
      <c r="D557">
        <v>0.52500000000000002</v>
      </c>
      <c r="E557">
        <v>1</v>
      </c>
      <c r="F557">
        <v>0.72399999999999998</v>
      </c>
      <c r="G557">
        <v>0.215</v>
      </c>
    </row>
    <row r="558" spans="1:7">
      <c r="A558">
        <v>1986</v>
      </c>
      <c r="B558">
        <v>0</v>
      </c>
      <c r="C558">
        <v>3.1E-2</v>
      </c>
      <c r="D558">
        <v>0.52500000000000002</v>
      </c>
      <c r="E558">
        <v>1</v>
      </c>
      <c r="F558">
        <v>0.72399999999999998</v>
      </c>
      <c r="G558">
        <v>0.215</v>
      </c>
    </row>
    <row r="559" spans="1:7">
      <c r="A559">
        <v>1987</v>
      </c>
      <c r="B559">
        <v>0</v>
      </c>
      <c r="C559">
        <v>3.1E-2</v>
      </c>
      <c r="D559">
        <v>0.52500000000000002</v>
      </c>
      <c r="E559">
        <v>1</v>
      </c>
      <c r="F559">
        <v>0.72399999999999998</v>
      </c>
      <c r="G559">
        <v>0.215</v>
      </c>
    </row>
    <row r="560" spans="1:7">
      <c r="A560">
        <v>1988</v>
      </c>
      <c r="B560">
        <v>0</v>
      </c>
      <c r="C560">
        <v>3.1E-2</v>
      </c>
      <c r="D560">
        <v>0.52500000000000002</v>
      </c>
      <c r="E560">
        <v>1</v>
      </c>
      <c r="F560">
        <v>0.72399999999999998</v>
      </c>
      <c r="G560">
        <v>0.215</v>
      </c>
    </row>
    <row r="561" spans="1:7">
      <c r="A561">
        <v>1989</v>
      </c>
      <c r="B561">
        <v>0</v>
      </c>
      <c r="C561">
        <v>3.1E-2</v>
      </c>
      <c r="D561">
        <v>0.52500000000000002</v>
      </c>
      <c r="E561">
        <v>1</v>
      </c>
      <c r="F561">
        <v>0.72399999999999998</v>
      </c>
      <c r="G561">
        <v>0.215</v>
      </c>
    </row>
    <row r="562" spans="1:7">
      <c r="A562">
        <v>1990</v>
      </c>
      <c r="B562">
        <v>0</v>
      </c>
      <c r="C562">
        <v>3.1E-2</v>
      </c>
      <c r="D562">
        <v>0.52500000000000002</v>
      </c>
      <c r="E562">
        <v>1</v>
      </c>
      <c r="F562">
        <v>0.72399999999999998</v>
      </c>
      <c r="G562">
        <v>0.215</v>
      </c>
    </row>
    <row r="563" spans="1:7">
      <c r="A563">
        <v>1991</v>
      </c>
      <c r="B563">
        <v>0</v>
      </c>
      <c r="C563">
        <v>3.1E-2</v>
      </c>
      <c r="D563">
        <v>0.52500000000000002</v>
      </c>
      <c r="E563">
        <v>1</v>
      </c>
      <c r="F563">
        <v>0.72399999999999998</v>
      </c>
      <c r="G563">
        <v>0.215</v>
      </c>
    </row>
    <row r="564" spans="1:7">
      <c r="A564">
        <v>1992</v>
      </c>
      <c r="B564">
        <v>0</v>
      </c>
      <c r="C564">
        <v>3.1E-2</v>
      </c>
      <c r="D564">
        <v>0.52500000000000002</v>
      </c>
      <c r="E564">
        <v>1</v>
      </c>
      <c r="F564">
        <v>0.72399999999999998</v>
      </c>
      <c r="G564">
        <v>0.215</v>
      </c>
    </row>
    <row r="565" spans="1:7">
      <c r="A565">
        <v>1993</v>
      </c>
      <c r="B565">
        <v>0</v>
      </c>
      <c r="C565">
        <v>3.1E-2</v>
      </c>
      <c r="D565">
        <v>0.52500000000000002</v>
      </c>
      <c r="E565">
        <v>1</v>
      </c>
      <c r="F565">
        <v>0.72399999999999998</v>
      </c>
      <c r="G565">
        <v>0.215</v>
      </c>
    </row>
    <row r="566" spans="1:7">
      <c r="A566">
        <v>1994</v>
      </c>
      <c r="B566">
        <v>0</v>
      </c>
      <c r="C566">
        <v>3.1E-2</v>
      </c>
      <c r="D566">
        <v>0.52500000000000002</v>
      </c>
      <c r="E566">
        <v>1</v>
      </c>
      <c r="F566">
        <v>0.72399999999999998</v>
      </c>
      <c r="G566">
        <v>0.215</v>
      </c>
    </row>
    <row r="567" spans="1:7">
      <c r="A567">
        <v>1995</v>
      </c>
      <c r="B567">
        <v>0</v>
      </c>
      <c r="C567">
        <v>3.1E-2</v>
      </c>
      <c r="D567">
        <v>0.52500000000000002</v>
      </c>
      <c r="E567">
        <v>1</v>
      </c>
      <c r="F567">
        <v>0.72399999999999998</v>
      </c>
      <c r="G567">
        <v>0.215</v>
      </c>
    </row>
    <row r="568" spans="1:7">
      <c r="A568">
        <v>1996</v>
      </c>
      <c r="B568">
        <v>0</v>
      </c>
      <c r="C568">
        <v>3.1E-2</v>
      </c>
      <c r="D568">
        <v>0.52500000000000002</v>
      </c>
      <c r="E568">
        <v>1</v>
      </c>
      <c r="F568">
        <v>0.72399999999999998</v>
      </c>
      <c r="G568">
        <v>0.215</v>
      </c>
    </row>
    <row r="569" spans="1:7">
      <c r="A569">
        <v>1997</v>
      </c>
      <c r="B569">
        <v>0</v>
      </c>
      <c r="C569">
        <v>3.1E-2</v>
      </c>
      <c r="D569">
        <v>0.52500000000000002</v>
      </c>
      <c r="E569">
        <v>1</v>
      </c>
      <c r="F569">
        <v>0.72399999999999998</v>
      </c>
      <c r="G569">
        <v>0.215</v>
      </c>
    </row>
    <row r="570" spans="1:7">
      <c r="A570">
        <v>1998</v>
      </c>
      <c r="B570">
        <v>0</v>
      </c>
      <c r="C570">
        <v>3.1E-2</v>
      </c>
      <c r="D570">
        <v>0.52500000000000002</v>
      </c>
      <c r="E570">
        <v>1</v>
      </c>
      <c r="F570">
        <v>0.72399999999999998</v>
      </c>
      <c r="G570">
        <v>0.215</v>
      </c>
    </row>
    <row r="571" spans="1:7">
      <c r="A571">
        <v>1999</v>
      </c>
      <c r="B571">
        <v>0</v>
      </c>
      <c r="C571">
        <v>3.1E-2</v>
      </c>
      <c r="D571">
        <v>0.52500000000000002</v>
      </c>
      <c r="E571">
        <v>1</v>
      </c>
      <c r="F571">
        <v>0.72399999999999998</v>
      </c>
      <c r="G571">
        <v>0.215</v>
      </c>
    </row>
    <row r="572" spans="1:7">
      <c r="A572">
        <v>2000</v>
      </c>
      <c r="B572">
        <v>0</v>
      </c>
      <c r="C572">
        <v>3.1E-2</v>
      </c>
      <c r="D572">
        <v>0.52500000000000002</v>
      </c>
      <c r="E572">
        <v>1</v>
      </c>
      <c r="F572">
        <v>0.72399999999999998</v>
      </c>
      <c r="G572">
        <v>0.215</v>
      </c>
    </row>
    <row r="573" spans="1:7">
      <c r="A573">
        <v>2001</v>
      </c>
      <c r="B573">
        <v>0</v>
      </c>
      <c r="C573">
        <v>3.1E-2</v>
      </c>
      <c r="D573">
        <v>0.52500000000000002</v>
      </c>
      <c r="E573">
        <v>1</v>
      </c>
      <c r="F573">
        <v>0.72399999999999998</v>
      </c>
      <c r="G573">
        <v>0.215</v>
      </c>
    </row>
    <row r="574" spans="1:7">
      <c r="A574">
        <v>2002</v>
      </c>
      <c r="B574">
        <v>0</v>
      </c>
      <c r="C574">
        <v>3.1E-2</v>
      </c>
      <c r="D574">
        <v>0.52500000000000002</v>
      </c>
      <c r="E574">
        <v>1</v>
      </c>
      <c r="F574">
        <v>0.72399999999999998</v>
      </c>
      <c r="G574">
        <v>0.215</v>
      </c>
    </row>
    <row r="575" spans="1:7">
      <c r="A575">
        <v>2003</v>
      </c>
      <c r="B575">
        <v>0</v>
      </c>
      <c r="C575">
        <v>3.1E-2</v>
      </c>
      <c r="D575">
        <v>0.52500000000000002</v>
      </c>
      <c r="E575">
        <v>1</v>
      </c>
      <c r="F575">
        <v>0.72399999999999998</v>
      </c>
      <c r="G575">
        <v>0.215</v>
      </c>
    </row>
    <row r="576" spans="1:7">
      <c r="A576">
        <v>2004</v>
      </c>
      <c r="B576">
        <v>0</v>
      </c>
      <c r="C576">
        <v>3.1E-2</v>
      </c>
      <c r="D576">
        <v>0.52500000000000002</v>
      </c>
      <c r="E576">
        <v>1</v>
      </c>
      <c r="F576">
        <v>0.72399999999999998</v>
      </c>
      <c r="G576">
        <v>0.215</v>
      </c>
    </row>
    <row r="577" spans="1:7">
      <c r="A577">
        <v>2005</v>
      </c>
      <c r="B577">
        <v>0</v>
      </c>
      <c r="C577">
        <v>3.1E-2</v>
      </c>
      <c r="D577">
        <v>0.52500000000000002</v>
      </c>
      <c r="E577">
        <v>1</v>
      </c>
      <c r="F577">
        <v>0.72399999999999998</v>
      </c>
      <c r="G577">
        <v>0.215</v>
      </c>
    </row>
    <row r="578" spans="1:7">
      <c r="A578">
        <v>2006</v>
      </c>
      <c r="B578">
        <v>0</v>
      </c>
      <c r="C578">
        <v>3.1E-2</v>
      </c>
      <c r="D578">
        <v>0.52500000000000002</v>
      </c>
      <c r="E578">
        <v>1</v>
      </c>
      <c r="F578">
        <v>0.72399999999999998</v>
      </c>
      <c r="G578">
        <v>0.215</v>
      </c>
    </row>
    <row r="599" spans="1:7">
      <c r="A599" t="str">
        <f>'Titles and Variables'!C28</f>
        <v>BRA-URU-LL</v>
      </c>
      <c r="B599" t="s">
        <v>61</v>
      </c>
    </row>
    <row r="600" spans="1:7">
      <c r="A600" t="s">
        <v>70</v>
      </c>
      <c r="B600" t="s">
        <v>71</v>
      </c>
      <c r="C600" t="s">
        <v>72</v>
      </c>
    </row>
    <row r="601" spans="1:7">
      <c r="A601" t="s">
        <v>68</v>
      </c>
      <c r="B601">
        <v>0</v>
      </c>
      <c r="C601">
        <v>1</v>
      </c>
      <c r="D601">
        <v>2</v>
      </c>
      <c r="E601">
        <v>3</v>
      </c>
      <c r="F601">
        <v>4</v>
      </c>
      <c r="G601">
        <v>5</v>
      </c>
    </row>
    <row r="602" spans="1:7">
      <c r="A602" t="s">
        <v>69</v>
      </c>
      <c r="B602" t="s">
        <v>73</v>
      </c>
      <c r="C602" t="s">
        <v>73</v>
      </c>
      <c r="D602" t="s">
        <v>73</v>
      </c>
      <c r="E602" t="s">
        <v>73</v>
      </c>
      <c r="F602" t="s">
        <v>73</v>
      </c>
      <c r="G602" t="s">
        <v>73</v>
      </c>
    </row>
    <row r="603" spans="1:7">
      <c r="A603">
        <v>1970</v>
      </c>
      <c r="B603">
        <v>0</v>
      </c>
      <c r="C603">
        <v>8.9999999999999993E-3</v>
      </c>
      <c r="D603">
        <v>0.20399999999999999</v>
      </c>
      <c r="E603">
        <v>0.84799999999999998</v>
      </c>
      <c r="F603">
        <v>1</v>
      </c>
      <c r="G603">
        <v>0.436</v>
      </c>
    </row>
    <row r="604" spans="1:7">
      <c r="A604">
        <v>1971</v>
      </c>
      <c r="B604">
        <v>0</v>
      </c>
      <c r="C604">
        <v>8.9999999999999993E-3</v>
      </c>
      <c r="D604">
        <v>0.20399999999999999</v>
      </c>
      <c r="E604">
        <v>0.84799999999999998</v>
      </c>
      <c r="F604">
        <v>1</v>
      </c>
      <c r="G604">
        <v>0.436</v>
      </c>
    </row>
    <row r="605" spans="1:7">
      <c r="A605">
        <v>1972</v>
      </c>
      <c r="B605">
        <v>0</v>
      </c>
      <c r="C605">
        <v>8.9999999999999993E-3</v>
      </c>
      <c r="D605">
        <v>0.20399999999999999</v>
      </c>
      <c r="E605">
        <v>0.84799999999999998</v>
      </c>
      <c r="F605">
        <v>1</v>
      </c>
      <c r="G605">
        <v>0.436</v>
      </c>
    </row>
    <row r="606" spans="1:7">
      <c r="A606">
        <v>1973</v>
      </c>
      <c r="B606">
        <v>0</v>
      </c>
      <c r="C606">
        <v>8.9999999999999993E-3</v>
      </c>
      <c r="D606">
        <v>0.20399999999999999</v>
      </c>
      <c r="E606">
        <v>0.84799999999999998</v>
      </c>
      <c r="F606">
        <v>1</v>
      </c>
      <c r="G606">
        <v>0.436</v>
      </c>
    </row>
    <row r="607" spans="1:7">
      <c r="A607">
        <v>1974</v>
      </c>
      <c r="B607">
        <v>0</v>
      </c>
      <c r="C607">
        <v>8.9999999999999993E-3</v>
      </c>
      <c r="D607">
        <v>0.20399999999999999</v>
      </c>
      <c r="E607">
        <v>0.84799999999999998</v>
      </c>
      <c r="F607">
        <v>1</v>
      </c>
      <c r="G607">
        <v>0.436</v>
      </c>
    </row>
    <row r="608" spans="1:7">
      <c r="A608">
        <v>1975</v>
      </c>
      <c r="B608">
        <v>0</v>
      </c>
      <c r="C608">
        <v>8.9999999999999993E-3</v>
      </c>
      <c r="D608">
        <v>0.20399999999999999</v>
      </c>
      <c r="E608">
        <v>0.84799999999999998</v>
      </c>
      <c r="F608">
        <v>1</v>
      </c>
      <c r="G608">
        <v>0.436</v>
      </c>
    </row>
    <row r="609" spans="1:7">
      <c r="A609">
        <v>1976</v>
      </c>
      <c r="B609">
        <v>0</v>
      </c>
      <c r="C609">
        <v>8.9999999999999993E-3</v>
      </c>
      <c r="D609">
        <v>0.20399999999999999</v>
      </c>
      <c r="E609">
        <v>0.84799999999999998</v>
      </c>
      <c r="F609">
        <v>1</v>
      </c>
      <c r="G609">
        <v>0.436</v>
      </c>
    </row>
    <row r="610" spans="1:7">
      <c r="A610">
        <v>1977</v>
      </c>
      <c r="B610">
        <v>0</v>
      </c>
      <c r="C610">
        <v>8.9999999999999993E-3</v>
      </c>
      <c r="D610">
        <v>0.20399999999999999</v>
      </c>
      <c r="E610">
        <v>0.84799999999999998</v>
      </c>
      <c r="F610">
        <v>1</v>
      </c>
      <c r="G610">
        <v>0.436</v>
      </c>
    </row>
    <row r="611" spans="1:7">
      <c r="A611">
        <v>1978</v>
      </c>
      <c r="B611">
        <v>0</v>
      </c>
      <c r="C611">
        <v>8.9999999999999993E-3</v>
      </c>
      <c r="D611">
        <v>0.20399999999999999</v>
      </c>
      <c r="E611">
        <v>0.84799999999999998</v>
      </c>
      <c r="F611">
        <v>1</v>
      </c>
      <c r="G611">
        <v>0.436</v>
      </c>
    </row>
    <row r="612" spans="1:7">
      <c r="A612">
        <v>1979</v>
      </c>
      <c r="B612">
        <v>0</v>
      </c>
      <c r="C612">
        <v>8.9999999999999993E-3</v>
      </c>
      <c r="D612">
        <v>0.20399999999999999</v>
      </c>
      <c r="E612">
        <v>0.84799999999999998</v>
      </c>
      <c r="F612">
        <v>1</v>
      </c>
      <c r="G612">
        <v>0.436</v>
      </c>
    </row>
    <row r="613" spans="1:7">
      <c r="A613">
        <v>1980</v>
      </c>
      <c r="B613">
        <v>0</v>
      </c>
      <c r="C613">
        <v>8.9999999999999993E-3</v>
      </c>
      <c r="D613">
        <v>0.20399999999999999</v>
      </c>
      <c r="E613">
        <v>0.84799999999999998</v>
      </c>
      <c r="F613">
        <v>1</v>
      </c>
      <c r="G613">
        <v>0.436</v>
      </c>
    </row>
    <row r="614" spans="1:7">
      <c r="A614">
        <v>1981</v>
      </c>
      <c r="B614">
        <v>0</v>
      </c>
      <c r="C614">
        <v>8.9999999999999993E-3</v>
      </c>
      <c r="D614">
        <v>0.20399999999999999</v>
      </c>
      <c r="E614">
        <v>0.84799999999999998</v>
      </c>
      <c r="F614">
        <v>1</v>
      </c>
      <c r="G614">
        <v>0.436</v>
      </c>
    </row>
    <row r="615" spans="1:7">
      <c r="A615">
        <v>1982</v>
      </c>
      <c r="B615">
        <v>0</v>
      </c>
      <c r="C615">
        <v>8.9999999999999993E-3</v>
      </c>
      <c r="D615">
        <v>0.20399999999999999</v>
      </c>
      <c r="E615">
        <v>0.84799999999999998</v>
      </c>
      <c r="F615">
        <v>1</v>
      </c>
      <c r="G615">
        <v>0.436</v>
      </c>
    </row>
    <row r="616" spans="1:7">
      <c r="A616">
        <v>1983</v>
      </c>
      <c r="B616">
        <v>0</v>
      </c>
      <c r="C616">
        <v>8.9999999999999993E-3</v>
      </c>
      <c r="D616">
        <v>0.20399999999999999</v>
      </c>
      <c r="E616">
        <v>0.84799999999999998</v>
      </c>
      <c r="F616">
        <v>1</v>
      </c>
      <c r="G616">
        <v>0.436</v>
      </c>
    </row>
    <row r="617" spans="1:7">
      <c r="A617">
        <v>1984</v>
      </c>
      <c r="B617">
        <v>0</v>
      </c>
      <c r="C617">
        <v>8.9999999999999993E-3</v>
      </c>
      <c r="D617">
        <v>0.20399999999999999</v>
      </c>
      <c r="E617">
        <v>0.84799999999999998</v>
      </c>
      <c r="F617">
        <v>1</v>
      </c>
      <c r="G617">
        <v>0.436</v>
      </c>
    </row>
    <row r="618" spans="1:7">
      <c r="A618">
        <v>1985</v>
      </c>
      <c r="B618">
        <v>0</v>
      </c>
      <c r="C618">
        <v>8.9999999999999993E-3</v>
      </c>
      <c r="D618">
        <v>0.20399999999999999</v>
      </c>
      <c r="E618">
        <v>0.84799999999999998</v>
      </c>
      <c r="F618">
        <v>1</v>
      </c>
      <c r="G618">
        <v>0.436</v>
      </c>
    </row>
    <row r="619" spans="1:7">
      <c r="A619">
        <v>1986</v>
      </c>
      <c r="B619">
        <v>0</v>
      </c>
      <c r="C619">
        <v>8.9999999999999993E-3</v>
      </c>
      <c r="D619">
        <v>0.20399999999999999</v>
      </c>
      <c r="E619">
        <v>0.84799999999999998</v>
      </c>
      <c r="F619">
        <v>1</v>
      </c>
      <c r="G619">
        <v>0.436</v>
      </c>
    </row>
    <row r="620" spans="1:7">
      <c r="A620">
        <v>1987</v>
      </c>
      <c r="B620">
        <v>0</v>
      </c>
      <c r="C620">
        <v>8.9999999999999993E-3</v>
      </c>
      <c r="D620">
        <v>0.20399999999999999</v>
      </c>
      <c r="E620">
        <v>0.84799999999999998</v>
      </c>
      <c r="F620">
        <v>1</v>
      </c>
      <c r="G620">
        <v>0.436</v>
      </c>
    </row>
    <row r="621" spans="1:7">
      <c r="A621">
        <v>1988</v>
      </c>
      <c r="B621">
        <v>0</v>
      </c>
      <c r="C621">
        <v>8.9999999999999993E-3</v>
      </c>
      <c r="D621">
        <v>0.20399999999999999</v>
      </c>
      <c r="E621">
        <v>0.84799999999999998</v>
      </c>
      <c r="F621">
        <v>1</v>
      </c>
      <c r="G621">
        <v>0.436</v>
      </c>
    </row>
    <row r="622" spans="1:7">
      <c r="A622">
        <v>1989</v>
      </c>
      <c r="B622">
        <v>0</v>
      </c>
      <c r="C622">
        <v>8.9999999999999993E-3</v>
      </c>
      <c r="D622">
        <v>0.20399999999999999</v>
      </c>
      <c r="E622">
        <v>0.84799999999999998</v>
      </c>
      <c r="F622">
        <v>1</v>
      </c>
      <c r="G622">
        <v>0.436</v>
      </c>
    </row>
    <row r="623" spans="1:7">
      <c r="A623">
        <v>1990</v>
      </c>
      <c r="B623">
        <v>0</v>
      </c>
      <c r="C623">
        <v>8.9999999999999993E-3</v>
      </c>
      <c r="D623">
        <v>0.20399999999999999</v>
      </c>
      <c r="E623">
        <v>0.84799999999999998</v>
      </c>
      <c r="F623">
        <v>1</v>
      </c>
      <c r="G623">
        <v>0.436</v>
      </c>
    </row>
    <row r="624" spans="1:7">
      <c r="A624">
        <v>1991</v>
      </c>
      <c r="B624">
        <v>0</v>
      </c>
      <c r="C624">
        <v>8.9999999999999993E-3</v>
      </c>
      <c r="D624">
        <v>0.20399999999999999</v>
      </c>
      <c r="E624">
        <v>0.84799999999999998</v>
      </c>
      <c r="F624">
        <v>1</v>
      </c>
      <c r="G624">
        <v>0.436</v>
      </c>
    </row>
    <row r="625" spans="1:7">
      <c r="A625">
        <v>1992</v>
      </c>
      <c r="B625">
        <v>0</v>
      </c>
      <c r="C625">
        <v>8.9999999999999993E-3</v>
      </c>
      <c r="D625">
        <v>0.20399999999999999</v>
      </c>
      <c r="E625">
        <v>0.84799999999999998</v>
      </c>
      <c r="F625">
        <v>1</v>
      </c>
      <c r="G625">
        <v>0.436</v>
      </c>
    </row>
    <row r="626" spans="1:7">
      <c r="A626">
        <v>1993</v>
      </c>
      <c r="B626">
        <v>0</v>
      </c>
      <c r="C626">
        <v>8.9999999999999993E-3</v>
      </c>
      <c r="D626">
        <v>0.20399999999999999</v>
      </c>
      <c r="E626">
        <v>0.84799999999999998</v>
      </c>
      <c r="F626">
        <v>1</v>
      </c>
      <c r="G626">
        <v>0.436</v>
      </c>
    </row>
    <row r="627" spans="1:7">
      <c r="A627">
        <v>1994</v>
      </c>
      <c r="B627">
        <v>0</v>
      </c>
      <c r="C627">
        <v>8.9999999999999993E-3</v>
      </c>
      <c r="D627">
        <v>0.20399999999999999</v>
      </c>
      <c r="E627">
        <v>0.84799999999999998</v>
      </c>
      <c r="F627">
        <v>1</v>
      </c>
      <c r="G627">
        <v>0.436</v>
      </c>
    </row>
    <row r="628" spans="1:7">
      <c r="A628">
        <v>1995</v>
      </c>
      <c r="B628">
        <v>0</v>
      </c>
      <c r="C628">
        <v>8.9999999999999993E-3</v>
      </c>
      <c r="D628">
        <v>0.20399999999999999</v>
      </c>
      <c r="E628">
        <v>0.84799999999999998</v>
      </c>
      <c r="F628">
        <v>1</v>
      </c>
      <c r="G628">
        <v>0.436</v>
      </c>
    </row>
    <row r="629" spans="1:7">
      <c r="A629">
        <v>1996</v>
      </c>
      <c r="B629">
        <v>0</v>
      </c>
      <c r="C629">
        <v>8.9999999999999993E-3</v>
      </c>
      <c r="D629">
        <v>0.20399999999999999</v>
      </c>
      <c r="E629">
        <v>0.84799999999999998</v>
      </c>
      <c r="F629">
        <v>1</v>
      </c>
      <c r="G629">
        <v>0.436</v>
      </c>
    </row>
    <row r="630" spans="1:7">
      <c r="A630">
        <v>1997</v>
      </c>
      <c r="B630">
        <v>0</v>
      </c>
      <c r="C630">
        <v>8.9999999999999993E-3</v>
      </c>
      <c r="D630">
        <v>0.20399999999999999</v>
      </c>
      <c r="E630">
        <v>0.84799999999999998</v>
      </c>
      <c r="F630">
        <v>1</v>
      </c>
      <c r="G630">
        <v>0.436</v>
      </c>
    </row>
    <row r="631" spans="1:7">
      <c r="A631">
        <v>1998</v>
      </c>
      <c r="B631">
        <v>0</v>
      </c>
      <c r="C631">
        <v>8.9999999999999993E-3</v>
      </c>
      <c r="D631">
        <v>0.20399999999999999</v>
      </c>
      <c r="E631">
        <v>0.84799999999999998</v>
      </c>
      <c r="F631">
        <v>1</v>
      </c>
      <c r="G631">
        <v>0.436</v>
      </c>
    </row>
    <row r="632" spans="1:7">
      <c r="A632">
        <v>1999</v>
      </c>
      <c r="B632">
        <v>0</v>
      </c>
      <c r="C632">
        <v>8.9999999999999993E-3</v>
      </c>
      <c r="D632">
        <v>0.20399999999999999</v>
      </c>
      <c r="E632">
        <v>0.84799999999999998</v>
      </c>
      <c r="F632">
        <v>1</v>
      </c>
      <c r="G632">
        <v>0.436</v>
      </c>
    </row>
    <row r="633" spans="1:7">
      <c r="A633">
        <v>2000</v>
      </c>
      <c r="B633">
        <v>0</v>
      </c>
      <c r="C633">
        <v>8.9999999999999993E-3</v>
      </c>
      <c r="D633">
        <v>0.20399999999999999</v>
      </c>
      <c r="E633">
        <v>0.84799999999999998</v>
      </c>
      <c r="F633">
        <v>1</v>
      </c>
      <c r="G633">
        <v>0.436</v>
      </c>
    </row>
    <row r="634" spans="1:7">
      <c r="A634">
        <v>2001</v>
      </c>
      <c r="B634">
        <v>0</v>
      </c>
      <c r="C634">
        <v>8.9999999999999993E-3</v>
      </c>
      <c r="D634">
        <v>0.20399999999999999</v>
      </c>
      <c r="E634">
        <v>0.84799999999999998</v>
      </c>
      <c r="F634">
        <v>1</v>
      </c>
      <c r="G634">
        <v>0.436</v>
      </c>
    </row>
    <row r="635" spans="1:7">
      <c r="A635">
        <v>2002</v>
      </c>
      <c r="B635">
        <v>0</v>
      </c>
      <c r="C635">
        <v>8.9999999999999993E-3</v>
      </c>
      <c r="D635">
        <v>0.20399999999999999</v>
      </c>
      <c r="E635">
        <v>0.84799999999999998</v>
      </c>
      <c r="F635">
        <v>1</v>
      </c>
      <c r="G635">
        <v>0.436</v>
      </c>
    </row>
    <row r="636" spans="1:7">
      <c r="A636">
        <v>2003</v>
      </c>
      <c r="B636">
        <v>0</v>
      </c>
      <c r="C636">
        <v>8.9999999999999993E-3</v>
      </c>
      <c r="D636">
        <v>0.20399999999999999</v>
      </c>
      <c r="E636">
        <v>0.84799999999999998</v>
      </c>
      <c r="F636">
        <v>1</v>
      </c>
      <c r="G636">
        <v>0.436</v>
      </c>
    </row>
    <row r="637" spans="1:7">
      <c r="A637">
        <v>2004</v>
      </c>
      <c r="B637">
        <v>0</v>
      </c>
      <c r="C637">
        <v>8.9999999999999993E-3</v>
      </c>
      <c r="D637">
        <v>0.20399999999999999</v>
      </c>
      <c r="E637">
        <v>0.84799999999999998</v>
      </c>
      <c r="F637">
        <v>1</v>
      </c>
      <c r="G637">
        <v>0.436</v>
      </c>
    </row>
    <row r="638" spans="1:7">
      <c r="A638">
        <v>2005</v>
      </c>
      <c r="B638">
        <v>0</v>
      </c>
      <c r="C638">
        <v>8.9999999999999993E-3</v>
      </c>
      <c r="D638">
        <v>0.20399999999999999</v>
      </c>
      <c r="E638">
        <v>0.84799999999999998</v>
      </c>
      <c r="F638">
        <v>1</v>
      </c>
      <c r="G638">
        <v>0.436</v>
      </c>
    </row>
    <row r="639" spans="1:7">
      <c r="A639">
        <v>2006</v>
      </c>
      <c r="B639">
        <v>0</v>
      </c>
      <c r="C639">
        <v>8.9999999999999993E-3</v>
      </c>
      <c r="D639">
        <v>0.20399999999999999</v>
      </c>
      <c r="E639">
        <v>0.84799999999999998</v>
      </c>
      <c r="F639">
        <v>1</v>
      </c>
      <c r="G639">
        <v>0.436</v>
      </c>
    </row>
    <row r="649" spans="1:7">
      <c r="A649" t="str">
        <f>'Titles and Variables'!C29</f>
        <v>CHIN-TAI-LL</v>
      </c>
      <c r="B649" t="s">
        <v>61</v>
      </c>
    </row>
    <row r="650" spans="1:7">
      <c r="A650" t="s">
        <v>70</v>
      </c>
      <c r="B650" t="s">
        <v>71</v>
      </c>
      <c r="C650" t="s">
        <v>72</v>
      </c>
    </row>
    <row r="651" spans="1:7">
      <c r="A651" t="s">
        <v>68</v>
      </c>
      <c r="B651">
        <v>0</v>
      </c>
      <c r="C651">
        <v>1</v>
      </c>
      <c r="D651">
        <v>2</v>
      </c>
      <c r="E651">
        <v>3</v>
      </c>
      <c r="F651">
        <v>4</v>
      </c>
      <c r="G651">
        <v>5</v>
      </c>
    </row>
    <row r="652" spans="1:7">
      <c r="A652" t="s">
        <v>69</v>
      </c>
      <c r="B652" t="s">
        <v>73</v>
      </c>
      <c r="C652" t="s">
        <v>73</v>
      </c>
      <c r="D652" t="s">
        <v>73</v>
      </c>
      <c r="E652" t="s">
        <v>73</v>
      </c>
      <c r="F652" t="s">
        <v>73</v>
      </c>
      <c r="G652" t="s">
        <v>73</v>
      </c>
    </row>
    <row r="653" spans="1:7">
      <c r="A653">
        <v>1970</v>
      </c>
      <c r="B653">
        <v>0</v>
      </c>
      <c r="C653">
        <v>8.9999999999999993E-3</v>
      </c>
      <c r="D653">
        <v>0.20399999999999999</v>
      </c>
      <c r="E653">
        <v>0.84799999999999998</v>
      </c>
      <c r="F653">
        <v>1</v>
      </c>
      <c r="G653">
        <v>0.436</v>
      </c>
    </row>
    <row r="654" spans="1:7">
      <c r="A654">
        <v>1971</v>
      </c>
      <c r="B654">
        <v>0</v>
      </c>
      <c r="C654">
        <v>8.9999999999999993E-3</v>
      </c>
      <c r="D654">
        <v>0.20399999999999999</v>
      </c>
      <c r="E654">
        <v>0.84799999999999998</v>
      </c>
      <c r="F654">
        <v>1</v>
      </c>
      <c r="G654">
        <v>0.436</v>
      </c>
    </row>
    <row r="655" spans="1:7">
      <c r="A655">
        <v>1972</v>
      </c>
      <c r="B655">
        <v>0</v>
      </c>
      <c r="C655">
        <v>8.9999999999999993E-3</v>
      </c>
      <c r="D655">
        <v>0.20399999999999999</v>
      </c>
      <c r="E655">
        <v>0.84799999999999998</v>
      </c>
      <c r="F655">
        <v>1</v>
      </c>
      <c r="G655">
        <v>0.436</v>
      </c>
    </row>
    <row r="656" spans="1:7">
      <c r="A656">
        <v>1973</v>
      </c>
      <c r="B656">
        <v>0</v>
      </c>
      <c r="C656">
        <v>8.9999999999999993E-3</v>
      </c>
      <c r="D656">
        <v>0.20399999999999999</v>
      </c>
      <c r="E656">
        <v>0.84799999999999998</v>
      </c>
      <c r="F656">
        <v>1</v>
      </c>
      <c r="G656">
        <v>0.436</v>
      </c>
    </row>
    <row r="657" spans="1:7">
      <c r="A657">
        <v>1974</v>
      </c>
      <c r="B657">
        <v>0</v>
      </c>
      <c r="C657">
        <v>8.9999999999999993E-3</v>
      </c>
      <c r="D657">
        <v>0.20399999999999999</v>
      </c>
      <c r="E657">
        <v>0.84799999999999998</v>
      </c>
      <c r="F657">
        <v>1</v>
      </c>
      <c r="G657">
        <v>0.436</v>
      </c>
    </row>
    <row r="658" spans="1:7">
      <c r="A658">
        <v>1975</v>
      </c>
      <c r="B658">
        <v>0</v>
      </c>
      <c r="C658">
        <v>8.9999999999999993E-3</v>
      </c>
      <c r="D658">
        <v>0.20399999999999999</v>
      </c>
      <c r="E658">
        <v>0.84799999999999998</v>
      </c>
      <c r="F658">
        <v>1</v>
      </c>
      <c r="G658">
        <v>0.436</v>
      </c>
    </row>
    <row r="659" spans="1:7">
      <c r="A659">
        <v>1976</v>
      </c>
      <c r="B659">
        <v>0</v>
      </c>
      <c r="C659">
        <v>8.9999999999999993E-3</v>
      </c>
      <c r="D659">
        <v>0.20399999999999999</v>
      </c>
      <c r="E659">
        <v>0.84799999999999998</v>
      </c>
      <c r="F659">
        <v>1</v>
      </c>
      <c r="G659">
        <v>0.436</v>
      </c>
    </row>
    <row r="660" spans="1:7">
      <c r="A660">
        <v>1977</v>
      </c>
      <c r="B660">
        <v>0</v>
      </c>
      <c r="C660">
        <v>8.9999999999999993E-3</v>
      </c>
      <c r="D660">
        <v>0.20399999999999999</v>
      </c>
      <c r="E660">
        <v>0.84799999999999998</v>
      </c>
      <c r="F660">
        <v>1</v>
      </c>
      <c r="G660">
        <v>0.436</v>
      </c>
    </row>
    <row r="661" spans="1:7">
      <c r="A661">
        <v>1978</v>
      </c>
      <c r="B661">
        <v>0</v>
      </c>
      <c r="C661">
        <v>8.9999999999999993E-3</v>
      </c>
      <c r="D661">
        <v>0.20399999999999999</v>
      </c>
      <c r="E661">
        <v>0.84799999999999998</v>
      </c>
      <c r="F661">
        <v>1</v>
      </c>
      <c r="G661">
        <v>0.436</v>
      </c>
    </row>
    <row r="662" spans="1:7">
      <c r="A662">
        <v>1979</v>
      </c>
      <c r="B662">
        <v>0</v>
      </c>
      <c r="C662">
        <v>8.9999999999999993E-3</v>
      </c>
      <c r="D662">
        <v>0.20399999999999999</v>
      </c>
      <c r="E662">
        <v>0.84799999999999998</v>
      </c>
      <c r="F662">
        <v>1</v>
      </c>
      <c r="G662">
        <v>0.436</v>
      </c>
    </row>
    <row r="663" spans="1:7">
      <c r="A663">
        <v>1980</v>
      </c>
      <c r="B663">
        <v>0</v>
      </c>
      <c r="C663">
        <v>8.9999999999999993E-3</v>
      </c>
      <c r="D663">
        <v>0.20399999999999999</v>
      </c>
      <c r="E663">
        <v>0.84799999999999998</v>
      </c>
      <c r="F663">
        <v>1</v>
      </c>
      <c r="G663">
        <v>0.436</v>
      </c>
    </row>
    <row r="664" spans="1:7">
      <c r="A664">
        <v>1981</v>
      </c>
      <c r="B664">
        <v>0</v>
      </c>
      <c r="C664">
        <v>8.9999999999999993E-3</v>
      </c>
      <c r="D664">
        <v>0.20399999999999999</v>
      </c>
      <c r="E664">
        <v>0.84799999999999998</v>
      </c>
      <c r="F664">
        <v>1</v>
      </c>
      <c r="G664">
        <v>0.436</v>
      </c>
    </row>
    <row r="665" spans="1:7">
      <c r="A665">
        <v>1982</v>
      </c>
      <c r="B665">
        <v>0</v>
      </c>
      <c r="C665">
        <v>8.9999999999999993E-3</v>
      </c>
      <c r="D665">
        <v>0.20399999999999999</v>
      </c>
      <c r="E665">
        <v>0.84799999999999998</v>
      </c>
      <c r="F665">
        <v>1</v>
      </c>
      <c r="G665">
        <v>0.436</v>
      </c>
    </row>
    <row r="666" spans="1:7">
      <c r="A666">
        <v>1983</v>
      </c>
      <c r="B666">
        <v>0</v>
      </c>
      <c r="C666">
        <v>8.9999999999999993E-3</v>
      </c>
      <c r="D666">
        <v>0.20399999999999999</v>
      </c>
      <c r="E666">
        <v>0.84799999999999998</v>
      </c>
      <c r="F666">
        <v>1</v>
      </c>
      <c r="G666">
        <v>0.436</v>
      </c>
    </row>
    <row r="667" spans="1:7">
      <c r="A667">
        <v>1984</v>
      </c>
      <c r="B667">
        <v>0</v>
      </c>
      <c r="C667">
        <v>8.9999999999999993E-3</v>
      </c>
      <c r="D667">
        <v>0.20399999999999999</v>
      </c>
      <c r="E667">
        <v>0.84799999999999998</v>
      </c>
      <c r="F667">
        <v>1</v>
      </c>
      <c r="G667">
        <v>0.436</v>
      </c>
    </row>
    <row r="668" spans="1:7">
      <c r="A668">
        <v>1985</v>
      </c>
      <c r="B668">
        <v>0</v>
      </c>
      <c r="C668">
        <v>8.9999999999999993E-3</v>
      </c>
      <c r="D668">
        <v>0.20399999999999999</v>
      </c>
      <c r="E668">
        <v>0.84799999999999998</v>
      </c>
      <c r="F668">
        <v>1</v>
      </c>
      <c r="G668">
        <v>0.436</v>
      </c>
    </row>
    <row r="669" spans="1:7">
      <c r="A669">
        <v>1986</v>
      </c>
      <c r="B669">
        <v>0</v>
      </c>
      <c r="C669">
        <v>8.9999999999999993E-3</v>
      </c>
      <c r="D669">
        <v>0.20399999999999999</v>
      </c>
      <c r="E669">
        <v>0.84799999999999998</v>
      </c>
      <c r="F669">
        <v>1</v>
      </c>
      <c r="G669">
        <v>0.436</v>
      </c>
    </row>
    <row r="670" spans="1:7">
      <c r="A670">
        <v>1987</v>
      </c>
      <c r="B670">
        <v>0</v>
      </c>
      <c r="C670">
        <v>8.9999999999999993E-3</v>
      </c>
      <c r="D670">
        <v>0.20399999999999999</v>
      </c>
      <c r="E670">
        <v>0.84799999999999998</v>
      </c>
      <c r="F670">
        <v>1</v>
      </c>
      <c r="G670">
        <v>0.436</v>
      </c>
    </row>
    <row r="671" spans="1:7">
      <c r="A671">
        <v>1988</v>
      </c>
      <c r="B671">
        <v>0</v>
      </c>
      <c r="C671">
        <v>8.9999999999999993E-3</v>
      </c>
      <c r="D671">
        <v>0.20399999999999999</v>
      </c>
      <c r="E671">
        <v>0.84799999999999998</v>
      </c>
      <c r="F671">
        <v>1</v>
      </c>
      <c r="G671">
        <v>0.436</v>
      </c>
    </row>
    <row r="672" spans="1:7">
      <c r="A672">
        <v>1989</v>
      </c>
      <c r="B672">
        <v>0</v>
      </c>
      <c r="C672">
        <v>8.9999999999999993E-3</v>
      </c>
      <c r="D672">
        <v>0.20399999999999999</v>
      </c>
      <c r="E672">
        <v>0.84799999999999998</v>
      </c>
      <c r="F672">
        <v>1</v>
      </c>
      <c r="G672">
        <v>0.436</v>
      </c>
    </row>
    <row r="673" spans="1:7">
      <c r="A673">
        <v>1990</v>
      </c>
      <c r="B673">
        <v>0</v>
      </c>
      <c r="C673">
        <v>8.9999999999999993E-3</v>
      </c>
      <c r="D673">
        <v>0.20399999999999999</v>
      </c>
      <c r="E673">
        <v>0.84799999999999998</v>
      </c>
      <c r="F673">
        <v>1</v>
      </c>
      <c r="G673">
        <v>0.436</v>
      </c>
    </row>
    <row r="674" spans="1:7">
      <c r="A674">
        <v>1991</v>
      </c>
      <c r="B674">
        <v>0</v>
      </c>
      <c r="C674">
        <v>8.9999999999999993E-3</v>
      </c>
      <c r="D674">
        <v>0.20399999999999999</v>
      </c>
      <c r="E674">
        <v>0.84799999999999998</v>
      </c>
      <c r="F674">
        <v>1</v>
      </c>
      <c r="G674">
        <v>0.436</v>
      </c>
    </row>
    <row r="675" spans="1:7">
      <c r="A675">
        <v>1992</v>
      </c>
      <c r="B675">
        <v>0</v>
      </c>
      <c r="C675">
        <v>8.9999999999999993E-3</v>
      </c>
      <c r="D675">
        <v>0.20399999999999999</v>
      </c>
      <c r="E675">
        <v>0.84799999999999998</v>
      </c>
      <c r="F675">
        <v>1</v>
      </c>
      <c r="G675">
        <v>0.436</v>
      </c>
    </row>
    <row r="676" spans="1:7">
      <c r="A676">
        <v>1993</v>
      </c>
      <c r="B676">
        <v>0</v>
      </c>
      <c r="C676">
        <v>8.9999999999999993E-3</v>
      </c>
      <c r="D676">
        <v>0.20399999999999999</v>
      </c>
      <c r="E676">
        <v>0.84799999999999998</v>
      </c>
      <c r="F676">
        <v>1</v>
      </c>
      <c r="G676">
        <v>0.436</v>
      </c>
    </row>
    <row r="677" spans="1:7">
      <c r="A677">
        <v>1994</v>
      </c>
      <c r="B677">
        <v>0</v>
      </c>
      <c r="C677">
        <v>8.9999999999999993E-3</v>
      </c>
      <c r="D677">
        <v>0.20399999999999999</v>
      </c>
      <c r="E677">
        <v>0.84799999999999998</v>
      </c>
      <c r="F677">
        <v>1</v>
      </c>
      <c r="G677">
        <v>0.436</v>
      </c>
    </row>
    <row r="678" spans="1:7">
      <c r="A678">
        <v>1995</v>
      </c>
      <c r="B678">
        <v>0</v>
      </c>
      <c r="C678">
        <v>8.9999999999999993E-3</v>
      </c>
      <c r="D678">
        <v>0.20399999999999999</v>
      </c>
      <c r="E678">
        <v>0.84799999999999998</v>
      </c>
      <c r="F678">
        <v>1</v>
      </c>
      <c r="G678">
        <v>0.436</v>
      </c>
    </row>
    <row r="679" spans="1:7">
      <c r="A679">
        <v>1996</v>
      </c>
      <c r="B679">
        <v>0</v>
      </c>
      <c r="C679">
        <v>8.9999999999999993E-3</v>
      </c>
      <c r="D679">
        <v>0.20399999999999999</v>
      </c>
      <c r="E679">
        <v>0.84799999999999998</v>
      </c>
      <c r="F679">
        <v>1</v>
      </c>
      <c r="G679">
        <v>0.436</v>
      </c>
    </row>
    <row r="680" spans="1:7">
      <c r="A680">
        <v>1997</v>
      </c>
      <c r="B680">
        <v>0</v>
      </c>
      <c r="C680">
        <v>8.9999999999999993E-3</v>
      </c>
      <c r="D680">
        <v>0.20399999999999999</v>
      </c>
      <c r="E680">
        <v>0.84799999999999998</v>
      </c>
      <c r="F680">
        <v>1</v>
      </c>
      <c r="G680">
        <v>0.436</v>
      </c>
    </row>
    <row r="681" spans="1:7">
      <c r="A681">
        <v>1998</v>
      </c>
      <c r="B681">
        <v>0</v>
      </c>
      <c r="C681">
        <v>8.9999999999999993E-3</v>
      </c>
      <c r="D681">
        <v>0.20399999999999999</v>
      </c>
      <c r="E681">
        <v>0.84799999999999998</v>
      </c>
      <c r="F681">
        <v>1</v>
      </c>
      <c r="G681">
        <v>0.436</v>
      </c>
    </row>
    <row r="682" spans="1:7">
      <c r="A682">
        <v>1999</v>
      </c>
      <c r="B682">
        <v>0</v>
      </c>
      <c r="C682">
        <v>8.9999999999999993E-3</v>
      </c>
      <c r="D682">
        <v>0.20399999999999999</v>
      </c>
      <c r="E682">
        <v>0.84799999999999998</v>
      </c>
      <c r="F682">
        <v>1</v>
      </c>
      <c r="G682">
        <v>0.436</v>
      </c>
    </row>
    <row r="683" spans="1:7">
      <c r="A683">
        <v>2000</v>
      </c>
      <c r="B683">
        <v>0</v>
      </c>
      <c r="C683">
        <v>8.9999999999999993E-3</v>
      </c>
      <c r="D683">
        <v>0.20399999999999999</v>
      </c>
      <c r="E683">
        <v>0.84799999999999998</v>
      </c>
      <c r="F683">
        <v>1</v>
      </c>
      <c r="G683">
        <v>0.436</v>
      </c>
    </row>
    <row r="684" spans="1:7">
      <c r="A684">
        <v>2001</v>
      </c>
      <c r="B684">
        <v>0</v>
      </c>
      <c r="C684">
        <v>8.9999999999999993E-3</v>
      </c>
      <c r="D684">
        <v>0.20399999999999999</v>
      </c>
      <c r="E684">
        <v>0.84799999999999998</v>
      </c>
      <c r="F684">
        <v>1</v>
      </c>
      <c r="G684">
        <v>0.436</v>
      </c>
    </row>
    <row r="685" spans="1:7">
      <c r="A685">
        <v>2002</v>
      </c>
      <c r="B685">
        <v>0</v>
      </c>
      <c r="C685">
        <v>8.9999999999999993E-3</v>
      </c>
      <c r="D685">
        <v>0.20399999999999999</v>
      </c>
      <c r="E685">
        <v>0.84799999999999998</v>
      </c>
      <c r="F685">
        <v>1</v>
      </c>
      <c r="G685">
        <v>0.436</v>
      </c>
    </row>
    <row r="686" spans="1:7">
      <c r="A686">
        <v>2003</v>
      </c>
      <c r="B686">
        <v>0</v>
      </c>
      <c r="C686">
        <v>8.9999999999999993E-3</v>
      </c>
      <c r="D686">
        <v>0.20399999999999999</v>
      </c>
      <c r="E686">
        <v>0.84799999999999998</v>
      </c>
      <c r="F686">
        <v>1</v>
      </c>
      <c r="G686">
        <v>0.436</v>
      </c>
    </row>
    <row r="687" spans="1:7">
      <c r="A687">
        <v>2004</v>
      </c>
      <c r="B687">
        <v>0</v>
      </c>
      <c r="C687">
        <v>8.9999999999999993E-3</v>
      </c>
      <c r="D687">
        <v>0.20399999999999999</v>
      </c>
      <c r="E687">
        <v>0.84799999999999998</v>
      </c>
      <c r="F687">
        <v>1</v>
      </c>
      <c r="G687">
        <v>0.436</v>
      </c>
    </row>
    <row r="688" spans="1:7">
      <c r="A688">
        <v>2005</v>
      </c>
      <c r="B688">
        <v>0</v>
      </c>
      <c r="C688">
        <v>8.9999999999999993E-3</v>
      </c>
      <c r="D688">
        <v>0.20399999999999999</v>
      </c>
      <c r="E688">
        <v>0.84799999999999998</v>
      </c>
      <c r="F688">
        <v>1</v>
      </c>
      <c r="G688">
        <v>0.436</v>
      </c>
    </row>
    <row r="689" spans="1:7">
      <c r="A689">
        <v>2006</v>
      </c>
      <c r="B689">
        <v>0</v>
      </c>
      <c r="C689">
        <v>8.9999999999999993E-3</v>
      </c>
      <c r="D689">
        <v>0.20399999999999999</v>
      </c>
      <c r="E689">
        <v>0.84799999999999998</v>
      </c>
      <c r="F689">
        <v>1</v>
      </c>
      <c r="G689">
        <v>0.436</v>
      </c>
    </row>
    <row r="699" spans="1:7">
      <c r="A699" t="str">
        <f>'Titles and Variables'!C30</f>
        <v>TROP-PS</v>
      </c>
      <c r="B699" t="s">
        <v>61</v>
      </c>
    </row>
    <row r="700" spans="1:7">
      <c r="A700" t="s">
        <v>70</v>
      </c>
      <c r="B700" t="s">
        <v>71</v>
      </c>
      <c r="C700" t="s">
        <v>72</v>
      </c>
    </row>
    <row r="701" spans="1:7">
      <c r="A701" t="s">
        <v>68</v>
      </c>
      <c r="B701">
        <v>3</v>
      </c>
      <c r="C701">
        <v>4</v>
      </c>
      <c r="D701">
        <v>5</v>
      </c>
    </row>
    <row r="702" spans="1:7">
      <c r="A702" t="s">
        <v>69</v>
      </c>
      <c r="B702" t="s">
        <v>73</v>
      </c>
      <c r="C702" t="s">
        <v>73</v>
      </c>
      <c r="D702" t="s">
        <v>73</v>
      </c>
    </row>
    <row r="703" spans="1:7">
      <c r="A703">
        <v>1980</v>
      </c>
      <c r="B703">
        <v>29.518000000000001</v>
      </c>
      <c r="C703">
        <v>54.953000000000003</v>
      </c>
      <c r="D703">
        <v>78.542000000000002</v>
      </c>
    </row>
    <row r="704" spans="1:7">
      <c r="A704">
        <v>1981</v>
      </c>
      <c r="B704">
        <v>29.518000000000001</v>
      </c>
      <c r="C704">
        <v>54.953000000000003</v>
      </c>
      <c r="D704">
        <v>78.542000000000002</v>
      </c>
    </row>
    <row r="705" spans="1:4">
      <c r="A705">
        <v>1982</v>
      </c>
      <c r="B705">
        <v>29.518000000000001</v>
      </c>
      <c r="C705">
        <v>54.953000000000003</v>
      </c>
      <c r="D705">
        <v>78.542000000000002</v>
      </c>
    </row>
    <row r="706" spans="1:4">
      <c r="A706">
        <v>1983</v>
      </c>
      <c r="B706">
        <v>29.518000000000001</v>
      </c>
      <c r="C706">
        <v>54.953000000000003</v>
      </c>
      <c r="D706">
        <v>78.542000000000002</v>
      </c>
    </row>
    <row r="707" spans="1:4">
      <c r="A707">
        <v>1984</v>
      </c>
      <c r="B707">
        <v>29.518000000000001</v>
      </c>
      <c r="C707">
        <v>54.953000000000003</v>
      </c>
      <c r="D707">
        <v>78.542000000000002</v>
      </c>
    </row>
    <row r="708" spans="1:4">
      <c r="A708">
        <v>1985</v>
      </c>
      <c r="B708">
        <v>29.518000000000001</v>
      </c>
      <c r="C708">
        <v>54.953000000000003</v>
      </c>
      <c r="D708">
        <v>78.542000000000002</v>
      </c>
    </row>
    <row r="709" spans="1:4">
      <c r="A709">
        <v>1986</v>
      </c>
      <c r="B709">
        <v>29.518000000000001</v>
      </c>
      <c r="C709">
        <v>54.953000000000003</v>
      </c>
      <c r="D709">
        <v>78.542000000000002</v>
      </c>
    </row>
    <row r="710" spans="1:4">
      <c r="A710">
        <v>1987</v>
      </c>
      <c r="B710">
        <v>29.518000000000001</v>
      </c>
      <c r="C710">
        <v>54.953000000000003</v>
      </c>
      <c r="D710">
        <v>78.542000000000002</v>
      </c>
    </row>
    <row r="711" spans="1:4">
      <c r="A711">
        <v>1988</v>
      </c>
      <c r="B711">
        <v>29.518000000000001</v>
      </c>
      <c r="C711">
        <v>54.953000000000003</v>
      </c>
      <c r="D711">
        <v>78.542000000000002</v>
      </c>
    </row>
    <row r="712" spans="1:4">
      <c r="A712">
        <v>1989</v>
      </c>
      <c r="B712">
        <v>29.518000000000001</v>
      </c>
      <c r="C712">
        <v>54.953000000000003</v>
      </c>
      <c r="D712">
        <v>78.542000000000002</v>
      </c>
    </row>
    <row r="713" spans="1:4">
      <c r="A713">
        <v>1990</v>
      </c>
      <c r="B713">
        <v>29.518000000000001</v>
      </c>
      <c r="C713">
        <v>54.953000000000003</v>
      </c>
      <c r="D713">
        <v>78.542000000000002</v>
      </c>
    </row>
    <row r="714" spans="1:4">
      <c r="A714">
        <v>1991</v>
      </c>
      <c r="B714">
        <v>29.518000000000001</v>
      </c>
      <c r="C714">
        <v>54.953000000000003</v>
      </c>
      <c r="D714">
        <v>78.542000000000002</v>
      </c>
    </row>
    <row r="715" spans="1:4">
      <c r="A715">
        <v>1992</v>
      </c>
      <c r="B715">
        <v>29.518000000000001</v>
      </c>
      <c r="C715">
        <v>54.953000000000003</v>
      </c>
      <c r="D715">
        <v>78.542000000000002</v>
      </c>
    </row>
    <row r="716" spans="1:4">
      <c r="A716">
        <v>1993</v>
      </c>
      <c r="B716">
        <v>29.518000000000001</v>
      </c>
      <c r="C716">
        <v>54.953000000000003</v>
      </c>
      <c r="D716">
        <v>78.542000000000002</v>
      </c>
    </row>
    <row r="717" spans="1:4">
      <c r="A717">
        <v>1994</v>
      </c>
      <c r="B717">
        <v>29.518000000000001</v>
      </c>
      <c r="C717">
        <v>54.953000000000003</v>
      </c>
      <c r="D717">
        <v>78.542000000000002</v>
      </c>
    </row>
    <row r="718" spans="1:4">
      <c r="A718">
        <v>1995</v>
      </c>
      <c r="B718">
        <v>29.518000000000001</v>
      </c>
      <c r="C718">
        <v>54.953000000000003</v>
      </c>
      <c r="D718">
        <v>78.542000000000002</v>
      </c>
    </row>
    <row r="719" spans="1:4">
      <c r="A719">
        <v>1996</v>
      </c>
      <c r="B719">
        <v>29.518000000000001</v>
      </c>
      <c r="C719">
        <v>54.953000000000003</v>
      </c>
      <c r="D719">
        <v>78.542000000000002</v>
      </c>
    </row>
    <row r="720" spans="1:4">
      <c r="A720">
        <v>1997</v>
      </c>
      <c r="B720">
        <v>29.518000000000001</v>
      </c>
      <c r="C720">
        <v>54.953000000000003</v>
      </c>
      <c r="D720">
        <v>78.542000000000002</v>
      </c>
    </row>
    <row r="721" spans="1:4">
      <c r="A721">
        <v>1998</v>
      </c>
      <c r="B721">
        <v>29.518000000000001</v>
      </c>
      <c r="C721">
        <v>54.953000000000003</v>
      </c>
      <c r="D721">
        <v>78.542000000000002</v>
      </c>
    </row>
    <row r="722" spans="1:4">
      <c r="A722">
        <v>1999</v>
      </c>
      <c r="B722">
        <v>29.518000000000001</v>
      </c>
      <c r="C722">
        <v>54.953000000000003</v>
      </c>
      <c r="D722">
        <v>78.542000000000002</v>
      </c>
    </row>
    <row r="723" spans="1:4">
      <c r="A723">
        <v>2000</v>
      </c>
      <c r="B723">
        <v>29.518000000000001</v>
      </c>
      <c r="C723">
        <v>54.953000000000003</v>
      </c>
      <c r="D723">
        <v>78.542000000000002</v>
      </c>
    </row>
    <row r="724" spans="1:4">
      <c r="A724">
        <v>2001</v>
      </c>
      <c r="B724">
        <v>29.518000000000001</v>
      </c>
      <c r="C724">
        <v>54.953000000000003</v>
      </c>
      <c r="D724">
        <v>78.542000000000002</v>
      </c>
    </row>
    <row r="725" spans="1:4">
      <c r="A725">
        <v>2002</v>
      </c>
      <c r="B725">
        <v>29.518000000000001</v>
      </c>
      <c r="C725">
        <v>54.953000000000003</v>
      </c>
      <c r="D725">
        <v>78.542000000000002</v>
      </c>
    </row>
    <row r="726" spans="1:4">
      <c r="A726">
        <v>2003</v>
      </c>
      <c r="B726">
        <v>29.518000000000001</v>
      </c>
      <c r="C726">
        <v>54.953000000000003</v>
      </c>
      <c r="D726">
        <v>78.542000000000002</v>
      </c>
    </row>
    <row r="727" spans="1:4">
      <c r="A727">
        <v>2004</v>
      </c>
      <c r="B727">
        <v>29.518000000000001</v>
      </c>
      <c r="C727">
        <v>54.953000000000003</v>
      </c>
      <c r="D727">
        <v>78.542000000000002</v>
      </c>
    </row>
    <row r="728" spans="1:4">
      <c r="A728">
        <v>2005</v>
      </c>
      <c r="B728">
        <v>29.518000000000001</v>
      </c>
      <c r="C728">
        <v>54.953000000000003</v>
      </c>
      <c r="D728">
        <v>78.542000000000002</v>
      </c>
    </row>
    <row r="729" spans="1:4">
      <c r="A729">
        <v>2006</v>
      </c>
      <c r="B729">
        <v>29.518000000000001</v>
      </c>
      <c r="C729">
        <v>54.953000000000003</v>
      </c>
      <c r="D729">
        <v>78.542000000000002</v>
      </c>
    </row>
    <row r="749" spans="1:6">
      <c r="A749" t="str">
        <f>'Titles and Variables'!C31</f>
        <v>CAN-IS-BB</v>
      </c>
      <c r="B749" t="s">
        <v>61</v>
      </c>
    </row>
    <row r="750" spans="1:6">
      <c r="A750" t="s">
        <v>70</v>
      </c>
      <c r="B750" t="s">
        <v>71</v>
      </c>
      <c r="C750" t="s">
        <v>72</v>
      </c>
    </row>
    <row r="751" spans="1:6">
      <c r="A751" t="s">
        <v>68</v>
      </c>
      <c r="B751">
        <v>0</v>
      </c>
      <c r="C751">
        <v>1</v>
      </c>
      <c r="D751">
        <v>2</v>
      </c>
      <c r="E751">
        <v>3</v>
      </c>
      <c r="F751">
        <v>4</v>
      </c>
    </row>
    <row r="752" spans="1:6">
      <c r="A752" t="s">
        <v>69</v>
      </c>
      <c r="B752" t="s">
        <v>73</v>
      </c>
      <c r="C752" t="s">
        <v>73</v>
      </c>
      <c r="D752" t="s">
        <v>73</v>
      </c>
      <c r="E752" t="s">
        <v>73</v>
      </c>
      <c r="F752" t="s">
        <v>73</v>
      </c>
    </row>
    <row r="753" spans="1:6">
      <c r="A753">
        <v>1980</v>
      </c>
      <c r="B753">
        <v>5.0000000000000001E-3</v>
      </c>
      <c r="C753">
        <v>0.88300000000000001</v>
      </c>
      <c r="D753">
        <v>1</v>
      </c>
      <c r="E753">
        <v>0.58899999999999997</v>
      </c>
      <c r="F753">
        <v>0.70499999999999996</v>
      </c>
    </row>
    <row r="754" spans="1:6">
      <c r="A754">
        <v>1981</v>
      </c>
      <c r="B754">
        <v>5.0000000000000001E-3</v>
      </c>
      <c r="C754">
        <v>0.88300000000000001</v>
      </c>
      <c r="D754">
        <v>1</v>
      </c>
      <c r="E754">
        <v>0.58899999999999997</v>
      </c>
      <c r="F754">
        <v>0.70499999999999996</v>
      </c>
    </row>
    <row r="755" spans="1:6">
      <c r="A755">
        <v>1982</v>
      </c>
      <c r="B755">
        <v>5.0000000000000001E-3</v>
      </c>
      <c r="C755">
        <v>0.88300000000000001</v>
      </c>
      <c r="D755">
        <v>1</v>
      </c>
      <c r="E755">
        <v>0.58899999999999997</v>
      </c>
      <c r="F755">
        <v>0.70499999999999996</v>
      </c>
    </row>
    <row r="756" spans="1:6">
      <c r="A756">
        <v>1983</v>
      </c>
      <c r="B756">
        <v>5.0000000000000001E-3</v>
      </c>
      <c r="C756">
        <v>0.88300000000000001</v>
      </c>
      <c r="D756">
        <v>1</v>
      </c>
      <c r="E756">
        <v>0.58899999999999997</v>
      </c>
      <c r="F756">
        <v>0.70499999999999996</v>
      </c>
    </row>
    <row r="757" spans="1:6">
      <c r="A757">
        <v>1984</v>
      </c>
      <c r="B757">
        <v>5.0000000000000001E-3</v>
      </c>
      <c r="C757">
        <v>0.88300000000000001</v>
      </c>
      <c r="D757">
        <v>1</v>
      </c>
      <c r="E757">
        <v>0.58899999999999997</v>
      </c>
      <c r="F757">
        <v>0.70499999999999996</v>
      </c>
    </row>
    <row r="758" spans="1:6">
      <c r="A758">
        <v>1985</v>
      </c>
      <c r="B758">
        <v>5.0000000000000001E-3</v>
      </c>
      <c r="C758">
        <v>0.88300000000000001</v>
      </c>
      <c r="D758">
        <v>1</v>
      </c>
      <c r="E758">
        <v>0.58899999999999997</v>
      </c>
      <c r="F758">
        <v>0.70499999999999996</v>
      </c>
    </row>
    <row r="759" spans="1:6">
      <c r="A759">
        <v>1986</v>
      </c>
      <c r="B759">
        <v>5.0000000000000001E-3</v>
      </c>
      <c r="C759">
        <v>0.88300000000000001</v>
      </c>
      <c r="D759">
        <v>1</v>
      </c>
      <c r="E759">
        <v>0.58899999999999997</v>
      </c>
      <c r="F759">
        <v>0.70499999999999996</v>
      </c>
    </row>
    <row r="760" spans="1:6">
      <c r="A760">
        <v>1987</v>
      </c>
      <c r="B760">
        <v>5.0000000000000001E-3</v>
      </c>
      <c r="C760">
        <v>0.88300000000000001</v>
      </c>
      <c r="D760">
        <v>1</v>
      </c>
      <c r="E760">
        <v>0.58899999999999997</v>
      </c>
      <c r="F760">
        <v>0.70499999999999996</v>
      </c>
    </row>
    <row r="761" spans="1:6">
      <c r="A761">
        <v>1988</v>
      </c>
      <c r="B761">
        <v>5.0000000000000001E-3</v>
      </c>
      <c r="C761">
        <v>0.88300000000000001</v>
      </c>
      <c r="D761">
        <v>1</v>
      </c>
      <c r="E761">
        <v>0.58899999999999997</v>
      </c>
      <c r="F761">
        <v>0.70499999999999996</v>
      </c>
    </row>
    <row r="762" spans="1:6">
      <c r="A762">
        <v>1989</v>
      </c>
      <c r="B762">
        <v>5.0000000000000001E-3</v>
      </c>
      <c r="C762">
        <v>0.88300000000000001</v>
      </c>
      <c r="D762">
        <v>1</v>
      </c>
      <c r="E762">
        <v>0.58899999999999997</v>
      </c>
      <c r="F762">
        <v>0.70499999999999996</v>
      </c>
    </row>
    <row r="763" spans="1:6">
      <c r="A763">
        <v>1990</v>
      </c>
      <c r="B763">
        <v>5.0000000000000001E-3</v>
      </c>
      <c r="C763">
        <v>0.88300000000000001</v>
      </c>
      <c r="D763">
        <v>1</v>
      </c>
      <c r="E763">
        <v>0.58899999999999997</v>
      </c>
      <c r="F763">
        <v>0.70499999999999996</v>
      </c>
    </row>
    <row r="764" spans="1:6">
      <c r="A764">
        <v>1991</v>
      </c>
      <c r="B764">
        <v>5.0000000000000001E-3</v>
      </c>
      <c r="C764">
        <v>0.88300000000000001</v>
      </c>
      <c r="D764">
        <v>1</v>
      </c>
      <c r="E764">
        <v>0.58899999999999997</v>
      </c>
      <c r="F764">
        <v>0.70499999999999996</v>
      </c>
    </row>
    <row r="765" spans="1:6">
      <c r="A765">
        <v>1992</v>
      </c>
      <c r="B765">
        <v>5.0000000000000001E-3</v>
      </c>
      <c r="C765">
        <v>0.88300000000000001</v>
      </c>
      <c r="D765">
        <v>1</v>
      </c>
      <c r="E765">
        <v>0.58899999999999997</v>
      </c>
      <c r="F765">
        <v>0.70499999999999996</v>
      </c>
    </row>
    <row r="766" spans="1:6">
      <c r="A766">
        <v>1993</v>
      </c>
      <c r="B766">
        <v>5.0000000000000001E-3</v>
      </c>
      <c r="C766">
        <v>0.88300000000000001</v>
      </c>
      <c r="D766">
        <v>1</v>
      </c>
      <c r="E766">
        <v>0.58899999999999997</v>
      </c>
      <c r="F766">
        <v>0.70499999999999996</v>
      </c>
    </row>
    <row r="767" spans="1:6">
      <c r="A767">
        <v>1994</v>
      </c>
      <c r="B767">
        <v>5.0000000000000001E-3</v>
      </c>
      <c r="C767">
        <v>0.88300000000000001</v>
      </c>
      <c r="D767">
        <v>1</v>
      </c>
      <c r="E767">
        <v>0.58899999999999997</v>
      </c>
      <c r="F767">
        <v>0.70499999999999996</v>
      </c>
    </row>
    <row r="768" spans="1:6">
      <c r="A768">
        <v>1995</v>
      </c>
      <c r="B768">
        <v>5.0000000000000001E-3</v>
      </c>
      <c r="C768">
        <v>0.88300000000000001</v>
      </c>
      <c r="D768">
        <v>1</v>
      </c>
      <c r="E768">
        <v>0.58899999999999997</v>
      </c>
      <c r="F768">
        <v>0.70499999999999996</v>
      </c>
    </row>
    <row r="769" spans="1:6">
      <c r="A769">
        <v>1996</v>
      </c>
      <c r="B769">
        <v>5.0000000000000001E-3</v>
      </c>
      <c r="C769">
        <v>0.88300000000000001</v>
      </c>
      <c r="D769">
        <v>1</v>
      </c>
      <c r="E769">
        <v>0.58899999999999997</v>
      </c>
      <c r="F769">
        <v>0.70499999999999996</v>
      </c>
    </row>
    <row r="770" spans="1:6">
      <c r="A770">
        <v>1997</v>
      </c>
      <c r="B770">
        <v>5.0000000000000001E-3</v>
      </c>
      <c r="C770">
        <v>0.88300000000000001</v>
      </c>
      <c r="D770">
        <v>1</v>
      </c>
      <c r="E770">
        <v>0.58899999999999997</v>
      </c>
      <c r="F770">
        <v>0.70499999999999996</v>
      </c>
    </row>
    <row r="771" spans="1:6">
      <c r="A771">
        <v>1998</v>
      </c>
      <c r="B771">
        <v>5.0000000000000001E-3</v>
      </c>
      <c r="C771">
        <v>0.88300000000000001</v>
      </c>
      <c r="D771">
        <v>1</v>
      </c>
      <c r="E771">
        <v>0.58899999999999997</v>
      </c>
      <c r="F771">
        <v>0.70499999999999996</v>
      </c>
    </row>
    <row r="772" spans="1:6">
      <c r="A772">
        <v>1999</v>
      </c>
      <c r="B772">
        <v>5.0000000000000001E-3</v>
      </c>
      <c r="C772">
        <v>0.88300000000000001</v>
      </c>
      <c r="D772">
        <v>1</v>
      </c>
      <c r="E772">
        <v>0.58899999999999997</v>
      </c>
      <c r="F772">
        <v>0.70499999999999996</v>
      </c>
    </row>
    <row r="773" spans="1:6">
      <c r="A773">
        <v>2000</v>
      </c>
      <c r="B773">
        <v>5.0000000000000001E-3</v>
      </c>
      <c r="C773">
        <v>0.88300000000000001</v>
      </c>
      <c r="D773">
        <v>1</v>
      </c>
      <c r="E773">
        <v>0.58899999999999997</v>
      </c>
      <c r="F773">
        <v>0.70499999999999996</v>
      </c>
    </row>
    <row r="774" spans="1:6">
      <c r="A774">
        <v>2001</v>
      </c>
      <c r="B774">
        <v>5.0000000000000001E-3</v>
      </c>
      <c r="C774">
        <v>0.88300000000000001</v>
      </c>
      <c r="D774">
        <v>1</v>
      </c>
      <c r="E774">
        <v>0.58899999999999997</v>
      </c>
      <c r="F774">
        <v>0.70499999999999996</v>
      </c>
    </row>
    <row r="775" spans="1:6">
      <c r="A775">
        <v>2002</v>
      </c>
      <c r="B775">
        <v>5.0000000000000001E-3</v>
      </c>
      <c r="C775">
        <v>0.88300000000000001</v>
      </c>
      <c r="D775">
        <v>1</v>
      </c>
      <c r="E775">
        <v>0.58899999999999997</v>
      </c>
      <c r="F775">
        <v>0.70499999999999996</v>
      </c>
    </row>
    <row r="776" spans="1:6">
      <c r="A776">
        <v>2003</v>
      </c>
      <c r="B776">
        <v>5.0000000000000001E-3</v>
      </c>
      <c r="C776">
        <v>0.88300000000000001</v>
      </c>
      <c r="D776">
        <v>1</v>
      </c>
      <c r="E776">
        <v>0.58899999999999997</v>
      </c>
      <c r="F776">
        <v>0.70499999999999996</v>
      </c>
    </row>
    <row r="777" spans="1:6">
      <c r="A777">
        <v>2004</v>
      </c>
      <c r="B777">
        <v>5.0000000000000001E-3</v>
      </c>
      <c r="C777">
        <v>0.88300000000000001</v>
      </c>
      <c r="D777">
        <v>1</v>
      </c>
      <c r="E777">
        <v>0.58899999999999997</v>
      </c>
      <c r="F777">
        <v>0.70499999999999996</v>
      </c>
    </row>
    <row r="778" spans="1:6">
      <c r="A778">
        <v>2005</v>
      </c>
      <c r="B778">
        <v>5.0000000000000001E-3</v>
      </c>
      <c r="C778">
        <v>0.88300000000000001</v>
      </c>
      <c r="D778">
        <v>1</v>
      </c>
      <c r="E778">
        <v>0.58899999999999997</v>
      </c>
      <c r="F778">
        <v>0.70499999999999996</v>
      </c>
    </row>
    <row r="779" spans="1:6">
      <c r="A779">
        <v>2006</v>
      </c>
      <c r="B779">
        <v>5.0000000000000001E-3</v>
      </c>
      <c r="C779">
        <v>0.88300000000000001</v>
      </c>
      <c r="D779">
        <v>1</v>
      </c>
      <c r="E779">
        <v>0.58899999999999997</v>
      </c>
      <c r="F779">
        <v>0.70499999999999996</v>
      </c>
    </row>
    <row r="799" spans="1:2">
      <c r="A799" t="str">
        <f>'Titles and Variables'!C32</f>
        <v>NOT-USED</v>
      </c>
      <c r="B799" t="s">
        <v>61</v>
      </c>
    </row>
    <row r="849" spans="1:2">
      <c r="A849" t="str">
        <f>'Titles and Variables'!C33</f>
        <v>NOT-USED</v>
      </c>
      <c r="B849" t="s">
        <v>61</v>
      </c>
    </row>
    <row r="899" spans="1:2">
      <c r="A899" t="str">
        <f>'Titles and Variables'!C34</f>
        <v>NOT-USED</v>
      </c>
      <c r="B899" t="s">
        <v>61</v>
      </c>
    </row>
    <row r="949" spans="1:2">
      <c r="A949" t="str">
        <f>'Titles and Variables'!C35</f>
        <v>NOT-USED</v>
      </c>
      <c r="B949" t="s">
        <v>61</v>
      </c>
    </row>
  </sheetData>
  <phoneticPr fontId="1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I949"/>
  <sheetViews>
    <sheetView tabSelected="1" zoomScale="60" zoomScaleNormal="60" workbookViewId="0">
      <selection sqref="A1:XFD1048576"/>
    </sheetView>
  </sheetViews>
  <sheetFormatPr defaultRowHeight="12.75"/>
  <cols>
    <col min="1" max="1" width="19.28515625" customWidth="1"/>
  </cols>
  <sheetData>
    <row r="1" spans="1:9">
      <c r="A1" t="str">
        <f>'Titles and Variables'!C16</f>
        <v>BRA_BB</v>
      </c>
      <c r="B1" t="s">
        <v>61</v>
      </c>
      <c r="I1" s="6" t="s">
        <v>125</v>
      </c>
    </row>
    <row r="2" spans="1:9">
      <c r="A2" t="s">
        <v>70</v>
      </c>
      <c r="B2" t="s">
        <v>71</v>
      </c>
      <c r="C2" t="s">
        <v>72</v>
      </c>
    </row>
    <row r="3" spans="1:9">
      <c r="A3" t="s">
        <v>68</v>
      </c>
      <c r="B3">
        <v>0</v>
      </c>
      <c r="C3">
        <v>1</v>
      </c>
      <c r="D3">
        <v>2</v>
      </c>
      <c r="E3">
        <v>3</v>
      </c>
      <c r="F3">
        <v>4</v>
      </c>
    </row>
    <row r="4" spans="1:9">
      <c r="A4" t="s">
        <v>69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</row>
    <row r="5" spans="1:9">
      <c r="A5">
        <v>1981</v>
      </c>
      <c r="B5">
        <v>6.0000000000000001E-3</v>
      </c>
      <c r="C5">
        <v>0.57999999999999996</v>
      </c>
      <c r="D5">
        <v>1</v>
      </c>
      <c r="E5">
        <v>0.216</v>
      </c>
      <c r="F5">
        <v>1.6E-2</v>
      </c>
    </row>
    <row r="6" spans="1:9">
      <c r="A6">
        <v>1982</v>
      </c>
      <c r="B6">
        <v>6.0000000000000001E-3</v>
      </c>
      <c r="C6">
        <v>0.57999999999999996</v>
      </c>
      <c r="D6">
        <v>1</v>
      </c>
      <c r="E6">
        <v>0.216</v>
      </c>
      <c r="F6">
        <v>1.6E-2</v>
      </c>
    </row>
    <row r="7" spans="1:9">
      <c r="A7">
        <v>1983</v>
      </c>
      <c r="B7">
        <v>6.0000000000000001E-3</v>
      </c>
      <c r="C7">
        <v>0.57999999999999996</v>
      </c>
      <c r="D7">
        <v>1</v>
      </c>
      <c r="E7">
        <v>0.216</v>
      </c>
      <c r="F7">
        <v>1.6E-2</v>
      </c>
    </row>
    <row r="8" spans="1:9">
      <c r="A8">
        <v>1984</v>
      </c>
      <c r="B8">
        <v>6.0000000000000001E-3</v>
      </c>
      <c r="C8">
        <v>0.57999999999999996</v>
      </c>
      <c r="D8">
        <v>1</v>
      </c>
      <c r="E8">
        <v>0.216</v>
      </c>
      <c r="F8">
        <v>1.6E-2</v>
      </c>
    </row>
    <row r="9" spans="1:9">
      <c r="A9">
        <v>1985</v>
      </c>
      <c r="B9">
        <v>6.0000000000000001E-3</v>
      </c>
      <c r="C9">
        <v>0.57999999999999996</v>
      </c>
      <c r="D9">
        <v>1</v>
      </c>
      <c r="E9">
        <v>0.216</v>
      </c>
      <c r="F9">
        <v>1.6E-2</v>
      </c>
    </row>
    <row r="10" spans="1:9">
      <c r="A10">
        <v>1986</v>
      </c>
      <c r="B10">
        <v>6.0000000000000001E-3</v>
      </c>
      <c r="C10">
        <v>0.57999999999999996</v>
      </c>
      <c r="D10">
        <v>1</v>
      </c>
      <c r="E10">
        <v>0.216</v>
      </c>
      <c r="F10">
        <v>1.6E-2</v>
      </c>
    </row>
    <row r="11" spans="1:9">
      <c r="A11">
        <v>1987</v>
      </c>
      <c r="B11">
        <v>6.0000000000000001E-3</v>
      </c>
      <c r="C11">
        <v>0.57999999999999996</v>
      </c>
      <c r="D11">
        <v>1</v>
      </c>
      <c r="E11">
        <v>0.216</v>
      </c>
      <c r="F11">
        <v>1.6E-2</v>
      </c>
    </row>
    <row r="12" spans="1:9">
      <c r="A12">
        <v>1988</v>
      </c>
      <c r="B12">
        <v>6.0000000000000001E-3</v>
      </c>
      <c r="C12">
        <v>0.57999999999999996</v>
      </c>
      <c r="D12">
        <v>1</v>
      </c>
      <c r="E12">
        <v>0.216</v>
      </c>
      <c r="F12">
        <v>1.6E-2</v>
      </c>
    </row>
    <row r="13" spans="1:9">
      <c r="A13">
        <v>1989</v>
      </c>
      <c r="B13">
        <v>6.0000000000000001E-3</v>
      </c>
      <c r="C13">
        <v>0.57999999999999996</v>
      </c>
      <c r="D13">
        <v>1</v>
      </c>
      <c r="E13">
        <v>0.216</v>
      </c>
      <c r="F13">
        <v>1.6E-2</v>
      </c>
    </row>
    <row r="14" spans="1:9">
      <c r="A14">
        <v>1990</v>
      </c>
      <c r="B14">
        <v>6.0000000000000001E-3</v>
      </c>
      <c r="C14">
        <v>0.57999999999999996</v>
      </c>
      <c r="D14">
        <v>1</v>
      </c>
      <c r="E14">
        <v>0.216</v>
      </c>
      <c r="F14">
        <v>1.6E-2</v>
      </c>
    </row>
    <row r="15" spans="1:9">
      <c r="A15">
        <v>1991</v>
      </c>
      <c r="B15">
        <v>6.0000000000000001E-3</v>
      </c>
      <c r="C15">
        <v>0.57999999999999996</v>
      </c>
      <c r="D15">
        <v>1</v>
      </c>
      <c r="E15">
        <v>0.216</v>
      </c>
      <c r="F15">
        <v>1.6E-2</v>
      </c>
    </row>
    <row r="16" spans="1:9">
      <c r="A16">
        <v>1992</v>
      </c>
      <c r="B16">
        <v>6.0000000000000001E-3</v>
      </c>
      <c r="C16">
        <v>0.57999999999999996</v>
      </c>
      <c r="D16">
        <v>1</v>
      </c>
      <c r="E16">
        <v>0.216</v>
      </c>
      <c r="F16">
        <v>1.6E-2</v>
      </c>
    </row>
    <row r="17" spans="1:6">
      <c r="A17">
        <v>1993</v>
      </c>
      <c r="B17">
        <v>6.0000000000000001E-3</v>
      </c>
      <c r="C17">
        <v>0.57999999999999996</v>
      </c>
      <c r="D17">
        <v>1</v>
      </c>
      <c r="E17">
        <v>0.216</v>
      </c>
      <c r="F17">
        <v>1.6E-2</v>
      </c>
    </row>
    <row r="18" spans="1:6">
      <c r="A18">
        <v>1994</v>
      </c>
      <c r="B18">
        <v>6.0000000000000001E-3</v>
      </c>
      <c r="C18">
        <v>0.57999999999999996</v>
      </c>
      <c r="D18">
        <v>1</v>
      </c>
      <c r="E18">
        <v>0.216</v>
      </c>
      <c r="F18">
        <v>1.6E-2</v>
      </c>
    </row>
    <row r="19" spans="1:6">
      <c r="A19">
        <v>1995</v>
      </c>
      <c r="B19">
        <v>6.0000000000000001E-3</v>
      </c>
      <c r="C19">
        <v>0.57999999999999996</v>
      </c>
      <c r="D19">
        <v>1</v>
      </c>
      <c r="E19">
        <v>0.216</v>
      </c>
      <c r="F19">
        <v>1.6E-2</v>
      </c>
    </row>
    <row r="20" spans="1:6">
      <c r="A20">
        <v>1996</v>
      </c>
      <c r="B20">
        <v>6.0000000000000001E-3</v>
      </c>
      <c r="C20">
        <v>0.57999999999999996</v>
      </c>
      <c r="D20">
        <v>1</v>
      </c>
      <c r="E20">
        <v>0.216</v>
      </c>
      <c r="F20">
        <v>1.6E-2</v>
      </c>
    </row>
    <row r="21" spans="1:6">
      <c r="A21">
        <v>1997</v>
      </c>
      <c r="B21">
        <v>6.0000000000000001E-3</v>
      </c>
      <c r="C21">
        <v>0.57999999999999996</v>
      </c>
      <c r="D21">
        <v>1</v>
      </c>
      <c r="E21">
        <v>0.216</v>
      </c>
      <c r="F21">
        <v>1.6E-2</v>
      </c>
    </row>
    <row r="22" spans="1:6">
      <c r="A22">
        <v>1998</v>
      </c>
      <c r="B22">
        <v>6.0000000000000001E-3</v>
      </c>
      <c r="C22">
        <v>0.57999999999999996</v>
      </c>
      <c r="D22">
        <v>1</v>
      </c>
      <c r="E22">
        <v>0.216</v>
      </c>
      <c r="F22">
        <v>1.6E-2</v>
      </c>
    </row>
    <row r="23" spans="1:6">
      <c r="A23">
        <v>1999</v>
      </c>
      <c r="B23">
        <v>6.0000000000000001E-3</v>
      </c>
      <c r="C23">
        <v>0.57999999999999996</v>
      </c>
      <c r="D23">
        <v>1</v>
      </c>
      <c r="E23">
        <v>0.216</v>
      </c>
      <c r="F23">
        <v>1.6E-2</v>
      </c>
    </row>
    <row r="24" spans="1:6">
      <c r="A24">
        <v>2001</v>
      </c>
      <c r="B24">
        <v>6.0000000000000001E-3</v>
      </c>
      <c r="C24">
        <v>0.57999999999999996</v>
      </c>
      <c r="D24">
        <v>1</v>
      </c>
      <c r="E24">
        <v>0.216</v>
      </c>
      <c r="F24">
        <v>1.6E-2</v>
      </c>
    </row>
    <row r="25" spans="1:6">
      <c r="A25">
        <v>2002</v>
      </c>
      <c r="B25">
        <v>6.0000000000000001E-3</v>
      </c>
      <c r="C25">
        <v>0.57999999999999996</v>
      </c>
      <c r="D25">
        <v>1</v>
      </c>
      <c r="E25">
        <v>0.216</v>
      </c>
      <c r="F25">
        <v>1.6E-2</v>
      </c>
    </row>
    <row r="26" spans="1:6">
      <c r="A26">
        <v>2003</v>
      </c>
      <c r="B26">
        <v>6.0000000000000001E-3</v>
      </c>
      <c r="C26">
        <v>0.57999999999999996</v>
      </c>
      <c r="D26">
        <v>1</v>
      </c>
      <c r="E26">
        <v>0.216</v>
      </c>
      <c r="F26">
        <v>1.6E-2</v>
      </c>
    </row>
    <row r="27" spans="1:6">
      <c r="A27">
        <v>2004</v>
      </c>
      <c r="B27">
        <v>6.0000000000000001E-3</v>
      </c>
      <c r="C27">
        <v>0.57999999999999996</v>
      </c>
      <c r="D27">
        <v>1</v>
      </c>
      <c r="E27">
        <v>0.216</v>
      </c>
      <c r="F27">
        <v>1.6E-2</v>
      </c>
    </row>
    <row r="28" spans="1:6">
      <c r="A28">
        <v>2005</v>
      </c>
      <c r="B28">
        <v>6.0000000000000001E-3</v>
      </c>
      <c r="C28">
        <v>0.57999999999999996</v>
      </c>
      <c r="D28">
        <v>1</v>
      </c>
      <c r="E28">
        <v>0.216</v>
      </c>
      <c r="F28">
        <v>1.6E-2</v>
      </c>
    </row>
    <row r="29" spans="1:6">
      <c r="A29">
        <v>2006</v>
      </c>
      <c r="B29">
        <v>6.0000000000000001E-3</v>
      </c>
      <c r="C29">
        <v>0.57999999999999996</v>
      </c>
      <c r="D29">
        <v>1</v>
      </c>
      <c r="E29">
        <v>0.216</v>
      </c>
      <c r="F29">
        <v>1.6E-2</v>
      </c>
    </row>
    <row r="49" spans="1:7">
      <c r="A49" t="str">
        <f>'Titles and Variables'!C17</f>
        <v>BRA_LL</v>
      </c>
      <c r="B49" t="s">
        <v>61</v>
      </c>
    </row>
    <row r="50" spans="1:7">
      <c r="A50" t="s">
        <v>70</v>
      </c>
      <c r="B50" t="s">
        <v>71</v>
      </c>
      <c r="C50" t="s">
        <v>72</v>
      </c>
    </row>
    <row r="51" spans="1:7">
      <c r="A51" t="s">
        <v>68</v>
      </c>
      <c r="B51">
        <v>0</v>
      </c>
      <c r="C51">
        <v>1</v>
      </c>
      <c r="D51">
        <v>2</v>
      </c>
      <c r="E51">
        <v>3</v>
      </c>
      <c r="F51">
        <v>4</v>
      </c>
      <c r="G51">
        <v>5</v>
      </c>
    </row>
    <row r="52" spans="1:7">
      <c r="A52" t="s">
        <v>69</v>
      </c>
      <c r="B52" t="s">
        <v>73</v>
      </c>
      <c r="C52" t="s">
        <v>73</v>
      </c>
      <c r="D52" t="s">
        <v>73</v>
      </c>
      <c r="E52" t="s">
        <v>73</v>
      </c>
      <c r="F52" t="s">
        <v>73</v>
      </c>
      <c r="G52" t="s">
        <v>73</v>
      </c>
    </row>
    <row r="53" spans="1:7">
      <c r="A53">
        <v>1986</v>
      </c>
      <c r="B53">
        <v>1.4E-2</v>
      </c>
      <c r="C53">
        <v>0.17299999999999999</v>
      </c>
      <c r="D53">
        <v>0.39900000000000002</v>
      </c>
      <c r="E53">
        <v>1</v>
      </c>
      <c r="F53">
        <v>0.78200000000000003</v>
      </c>
      <c r="G53">
        <v>0.46700000000000003</v>
      </c>
    </row>
    <row r="54" spans="1:7">
      <c r="A54">
        <v>1987</v>
      </c>
      <c r="B54">
        <v>1.4E-2</v>
      </c>
      <c r="C54">
        <v>0.17299999999999999</v>
      </c>
      <c r="D54">
        <v>0.39900000000000002</v>
      </c>
      <c r="E54">
        <v>1</v>
      </c>
      <c r="F54">
        <v>0.78200000000000003</v>
      </c>
      <c r="G54">
        <v>0.46700000000000003</v>
      </c>
    </row>
    <row r="55" spans="1:7">
      <c r="A55">
        <v>1988</v>
      </c>
      <c r="B55">
        <v>1.4E-2</v>
      </c>
      <c r="C55">
        <v>0.17299999999999999</v>
      </c>
      <c r="D55">
        <v>0.39900000000000002</v>
      </c>
      <c r="E55">
        <v>1</v>
      </c>
      <c r="F55">
        <v>0.78200000000000003</v>
      </c>
      <c r="G55">
        <v>0.46700000000000003</v>
      </c>
    </row>
    <row r="56" spans="1:7">
      <c r="A56">
        <v>1989</v>
      </c>
      <c r="B56">
        <v>1.4E-2</v>
      </c>
      <c r="C56">
        <v>0.17299999999999999</v>
      </c>
      <c r="D56">
        <v>0.39900000000000002</v>
      </c>
      <c r="E56">
        <v>1</v>
      </c>
      <c r="F56">
        <v>0.78200000000000003</v>
      </c>
      <c r="G56">
        <v>0.46700000000000003</v>
      </c>
    </row>
    <row r="57" spans="1:7">
      <c r="A57">
        <v>1990</v>
      </c>
      <c r="B57">
        <v>1.4E-2</v>
      </c>
      <c r="C57">
        <v>0.17299999999999999</v>
      </c>
      <c r="D57">
        <v>0.39900000000000002</v>
      </c>
      <c r="E57">
        <v>1</v>
      </c>
      <c r="F57">
        <v>0.78200000000000003</v>
      </c>
      <c r="G57">
        <v>0.46700000000000003</v>
      </c>
    </row>
    <row r="58" spans="1:7">
      <c r="A58">
        <v>1991</v>
      </c>
      <c r="B58">
        <v>1.4E-2</v>
      </c>
      <c r="C58">
        <v>0.17299999999999999</v>
      </c>
      <c r="D58">
        <v>0.39900000000000002</v>
      </c>
      <c r="E58">
        <v>1</v>
      </c>
      <c r="F58">
        <v>0.78200000000000003</v>
      </c>
      <c r="G58">
        <v>0.46700000000000003</v>
      </c>
    </row>
    <row r="59" spans="1:7">
      <c r="A59">
        <v>1992</v>
      </c>
      <c r="B59">
        <v>1.4E-2</v>
      </c>
      <c r="C59">
        <v>0.17299999999999999</v>
      </c>
      <c r="D59">
        <v>0.39900000000000002</v>
      </c>
      <c r="E59">
        <v>1</v>
      </c>
      <c r="F59">
        <v>0.78200000000000003</v>
      </c>
      <c r="G59">
        <v>0.46700000000000003</v>
      </c>
    </row>
    <row r="60" spans="1:7">
      <c r="A60">
        <v>1993</v>
      </c>
      <c r="B60">
        <v>1.4E-2</v>
      </c>
      <c r="C60">
        <v>0.17299999999999999</v>
      </c>
      <c r="D60">
        <v>0.39900000000000002</v>
      </c>
      <c r="E60">
        <v>1</v>
      </c>
      <c r="F60">
        <v>0.78200000000000003</v>
      </c>
      <c r="G60">
        <v>0.46700000000000003</v>
      </c>
    </row>
    <row r="61" spans="1:7">
      <c r="A61">
        <v>1994</v>
      </c>
      <c r="B61">
        <v>1.4E-2</v>
      </c>
      <c r="C61">
        <v>0.17299999999999999</v>
      </c>
      <c r="D61">
        <v>0.39900000000000002</v>
      </c>
      <c r="E61">
        <v>1</v>
      </c>
      <c r="F61">
        <v>0.78200000000000003</v>
      </c>
      <c r="G61">
        <v>0.46700000000000003</v>
      </c>
    </row>
    <row r="62" spans="1:7">
      <c r="A62">
        <v>1995</v>
      </c>
      <c r="B62">
        <v>1.4E-2</v>
      </c>
      <c r="C62">
        <v>0.17299999999999999</v>
      </c>
      <c r="D62">
        <v>0.39900000000000002</v>
      </c>
      <c r="E62">
        <v>1</v>
      </c>
      <c r="F62">
        <v>0.78200000000000003</v>
      </c>
      <c r="G62">
        <v>0.46700000000000003</v>
      </c>
    </row>
    <row r="63" spans="1:7">
      <c r="A63">
        <v>1996</v>
      </c>
      <c r="B63">
        <v>1.4E-2</v>
      </c>
      <c r="C63">
        <v>0.17299999999999999</v>
      </c>
      <c r="D63">
        <v>0.39900000000000002</v>
      </c>
      <c r="E63">
        <v>1</v>
      </c>
      <c r="F63">
        <v>0.78200000000000003</v>
      </c>
      <c r="G63">
        <v>0.46700000000000003</v>
      </c>
    </row>
    <row r="64" spans="1:7">
      <c r="A64">
        <v>1997</v>
      </c>
      <c r="B64">
        <v>1.4E-2</v>
      </c>
      <c r="C64">
        <v>0.17299999999999999</v>
      </c>
      <c r="D64">
        <v>0.39900000000000002</v>
      </c>
      <c r="E64">
        <v>1</v>
      </c>
      <c r="F64">
        <v>0.78200000000000003</v>
      </c>
      <c r="G64">
        <v>0.46700000000000003</v>
      </c>
    </row>
    <row r="65" spans="1:7">
      <c r="A65">
        <v>1998</v>
      </c>
      <c r="B65">
        <v>1.4E-2</v>
      </c>
      <c r="C65">
        <v>0.17299999999999999</v>
      </c>
      <c r="D65">
        <v>0.39900000000000002</v>
      </c>
      <c r="E65">
        <v>1</v>
      </c>
      <c r="F65">
        <v>0.78200000000000003</v>
      </c>
      <c r="G65">
        <v>0.46700000000000003</v>
      </c>
    </row>
    <row r="66" spans="1:7">
      <c r="A66">
        <v>1999</v>
      </c>
      <c r="B66">
        <v>1.4E-2</v>
      </c>
      <c r="C66">
        <v>0.17299999999999999</v>
      </c>
      <c r="D66">
        <v>0.39900000000000002</v>
      </c>
      <c r="E66">
        <v>1</v>
      </c>
      <c r="F66">
        <v>0.78200000000000003</v>
      </c>
      <c r="G66">
        <v>0.46700000000000003</v>
      </c>
    </row>
    <row r="67" spans="1:7">
      <c r="A67">
        <v>2000</v>
      </c>
      <c r="B67">
        <v>1.4E-2</v>
      </c>
      <c r="C67">
        <v>0.17299999999999999</v>
      </c>
      <c r="D67">
        <v>0.39900000000000002</v>
      </c>
      <c r="E67">
        <v>1</v>
      </c>
      <c r="F67">
        <v>0.78200000000000003</v>
      </c>
      <c r="G67">
        <v>0.46700000000000003</v>
      </c>
    </row>
    <row r="68" spans="1:7">
      <c r="A68">
        <v>2001</v>
      </c>
      <c r="B68">
        <v>1.4E-2</v>
      </c>
      <c r="C68">
        <v>0.17299999999999999</v>
      </c>
      <c r="D68">
        <v>0.39900000000000002</v>
      </c>
      <c r="E68">
        <v>1</v>
      </c>
      <c r="F68">
        <v>0.78200000000000003</v>
      </c>
      <c r="G68">
        <v>0.46700000000000003</v>
      </c>
    </row>
    <row r="69" spans="1:7">
      <c r="A69">
        <v>2002</v>
      </c>
      <c r="B69">
        <v>1.4E-2</v>
      </c>
      <c r="C69">
        <v>0.17299999999999999</v>
      </c>
      <c r="D69">
        <v>0.39900000000000002</v>
      </c>
      <c r="E69">
        <v>1</v>
      </c>
      <c r="F69">
        <v>0.78200000000000003</v>
      </c>
      <c r="G69">
        <v>0.46700000000000003</v>
      </c>
    </row>
    <row r="70" spans="1:7">
      <c r="A70">
        <v>2003</v>
      </c>
      <c r="B70">
        <v>1.4E-2</v>
      </c>
      <c r="C70">
        <v>0.17299999999999999</v>
      </c>
      <c r="D70">
        <v>0.39900000000000002</v>
      </c>
      <c r="E70">
        <v>1</v>
      </c>
      <c r="F70">
        <v>0.78200000000000003</v>
      </c>
      <c r="G70">
        <v>0.46700000000000003</v>
      </c>
    </row>
    <row r="71" spans="1:7">
      <c r="A71">
        <v>2004</v>
      </c>
      <c r="B71">
        <v>1.4E-2</v>
      </c>
      <c r="C71">
        <v>0.17299999999999999</v>
      </c>
      <c r="D71">
        <v>0.39900000000000002</v>
      </c>
      <c r="E71">
        <v>1</v>
      </c>
      <c r="F71">
        <v>0.78200000000000003</v>
      </c>
      <c r="G71">
        <v>0.46700000000000003</v>
      </c>
    </row>
    <row r="72" spans="1:7">
      <c r="A72">
        <v>2005</v>
      </c>
      <c r="B72">
        <v>1.4E-2</v>
      </c>
      <c r="C72">
        <v>0.17299999999999999</v>
      </c>
      <c r="D72">
        <v>0.39900000000000002</v>
      </c>
      <c r="E72">
        <v>1</v>
      </c>
      <c r="F72">
        <v>0.78200000000000003</v>
      </c>
      <c r="G72">
        <v>0.46700000000000003</v>
      </c>
    </row>
    <row r="73" spans="1:7">
      <c r="A73">
        <v>2006</v>
      </c>
      <c r="B73">
        <v>1.4E-2</v>
      </c>
      <c r="C73">
        <v>0.17299999999999999</v>
      </c>
      <c r="D73">
        <v>0.39900000000000002</v>
      </c>
      <c r="E73">
        <v>1</v>
      </c>
      <c r="F73">
        <v>0.78200000000000003</v>
      </c>
      <c r="G73">
        <v>0.46700000000000003</v>
      </c>
    </row>
    <row r="99" spans="1:7">
      <c r="A99" t="str">
        <f>'Titles and Variables'!C18</f>
        <v>JPN_LL</v>
      </c>
      <c r="B99" t="s">
        <v>61</v>
      </c>
    </row>
    <row r="100" spans="1:7">
      <c r="A100" t="s">
        <v>70</v>
      </c>
      <c r="B100" t="s">
        <v>71</v>
      </c>
      <c r="C100" t="s">
        <v>72</v>
      </c>
    </row>
    <row r="101" spans="1:7">
      <c r="A101" t="s">
        <v>68</v>
      </c>
      <c r="B101">
        <v>0</v>
      </c>
      <c r="C101">
        <v>1</v>
      </c>
      <c r="D101">
        <v>2</v>
      </c>
      <c r="E101">
        <v>3</v>
      </c>
      <c r="F101">
        <v>4</v>
      </c>
      <c r="G101">
        <v>5</v>
      </c>
    </row>
    <row r="102" spans="1:7">
      <c r="A102" t="s">
        <v>69</v>
      </c>
      <c r="B102" t="s">
        <v>73</v>
      </c>
      <c r="C102" t="s">
        <v>73</v>
      </c>
      <c r="D102" t="s">
        <v>73</v>
      </c>
      <c r="E102" t="s">
        <v>73</v>
      </c>
      <c r="F102" t="s">
        <v>73</v>
      </c>
      <c r="G102" t="s">
        <v>73</v>
      </c>
    </row>
    <row r="103" spans="1:7">
      <c r="A103">
        <v>1970</v>
      </c>
      <c r="B103">
        <v>0</v>
      </c>
      <c r="C103">
        <v>2E-3</v>
      </c>
      <c r="D103">
        <v>0.187</v>
      </c>
      <c r="E103">
        <v>0.83799999999999997</v>
      </c>
      <c r="F103">
        <v>1</v>
      </c>
      <c r="G103">
        <v>0.43099999999999999</v>
      </c>
    </row>
    <row r="104" spans="1:7">
      <c r="A104">
        <v>1971</v>
      </c>
      <c r="B104">
        <v>0</v>
      </c>
      <c r="C104">
        <v>2E-3</v>
      </c>
      <c r="D104">
        <v>0.187</v>
      </c>
      <c r="E104">
        <v>0.83799999999999997</v>
      </c>
      <c r="F104">
        <v>1</v>
      </c>
      <c r="G104">
        <v>0.43099999999999999</v>
      </c>
    </row>
    <row r="105" spans="1:7">
      <c r="A105">
        <v>1972</v>
      </c>
      <c r="B105">
        <v>0</v>
      </c>
      <c r="C105">
        <v>2E-3</v>
      </c>
      <c r="D105">
        <v>0.187</v>
      </c>
      <c r="E105">
        <v>0.83799999999999997</v>
      </c>
      <c r="F105">
        <v>1</v>
      </c>
      <c r="G105">
        <v>0.43099999999999999</v>
      </c>
    </row>
    <row r="106" spans="1:7">
      <c r="A106">
        <v>1973</v>
      </c>
      <c r="B106">
        <v>0</v>
      </c>
      <c r="C106">
        <v>2E-3</v>
      </c>
      <c r="D106">
        <v>0.187</v>
      </c>
      <c r="E106">
        <v>0.83799999999999997</v>
      </c>
      <c r="F106">
        <v>1</v>
      </c>
      <c r="G106">
        <v>0.43099999999999999</v>
      </c>
    </row>
    <row r="107" spans="1:7">
      <c r="A107">
        <v>1974</v>
      </c>
      <c r="B107">
        <v>0</v>
      </c>
      <c r="C107">
        <v>2E-3</v>
      </c>
      <c r="D107">
        <v>0.187</v>
      </c>
      <c r="E107">
        <v>0.83799999999999997</v>
      </c>
      <c r="F107">
        <v>1</v>
      </c>
      <c r="G107">
        <v>0.43099999999999999</v>
      </c>
    </row>
    <row r="108" spans="1:7">
      <c r="A108">
        <v>1975</v>
      </c>
      <c r="B108">
        <v>0</v>
      </c>
      <c r="C108">
        <v>2E-3</v>
      </c>
      <c r="D108">
        <v>0.187</v>
      </c>
      <c r="E108">
        <v>0.83799999999999997</v>
      </c>
      <c r="F108">
        <v>1</v>
      </c>
      <c r="G108">
        <v>0.43099999999999999</v>
      </c>
    </row>
    <row r="109" spans="1:7">
      <c r="A109">
        <v>1976</v>
      </c>
      <c r="B109">
        <v>0</v>
      </c>
      <c r="C109">
        <v>2E-3</v>
      </c>
      <c r="D109">
        <v>0.187</v>
      </c>
      <c r="E109">
        <v>0.83799999999999997</v>
      </c>
      <c r="F109">
        <v>1</v>
      </c>
      <c r="G109">
        <v>0.43099999999999999</v>
      </c>
    </row>
    <row r="110" spans="1:7">
      <c r="A110">
        <v>1977</v>
      </c>
      <c r="B110">
        <v>0</v>
      </c>
      <c r="C110">
        <v>2E-3</v>
      </c>
      <c r="D110">
        <v>0.187</v>
      </c>
      <c r="E110">
        <v>0.83799999999999997</v>
      </c>
      <c r="F110">
        <v>1</v>
      </c>
      <c r="G110">
        <v>0.43099999999999999</v>
      </c>
    </row>
    <row r="111" spans="1:7">
      <c r="A111">
        <v>1978</v>
      </c>
      <c r="B111">
        <v>0</v>
      </c>
      <c r="C111">
        <v>2E-3</v>
      </c>
      <c r="D111">
        <v>0.187</v>
      </c>
      <c r="E111">
        <v>0.83799999999999997</v>
      </c>
      <c r="F111">
        <v>1</v>
      </c>
      <c r="G111">
        <v>0.43099999999999999</v>
      </c>
    </row>
    <row r="112" spans="1:7">
      <c r="A112">
        <v>1979</v>
      </c>
      <c r="B112">
        <v>0</v>
      </c>
      <c r="C112">
        <v>2E-3</v>
      </c>
      <c r="D112">
        <v>0.187</v>
      </c>
      <c r="E112">
        <v>0.83799999999999997</v>
      </c>
      <c r="F112">
        <v>1</v>
      </c>
      <c r="G112">
        <v>0.43099999999999999</v>
      </c>
    </row>
    <row r="113" spans="1:7">
      <c r="A113">
        <v>1980</v>
      </c>
      <c r="B113">
        <v>0</v>
      </c>
      <c r="C113">
        <v>2E-3</v>
      </c>
      <c r="D113">
        <v>0.187</v>
      </c>
      <c r="E113">
        <v>0.83799999999999997</v>
      </c>
      <c r="F113">
        <v>1</v>
      </c>
      <c r="G113">
        <v>0.43099999999999999</v>
      </c>
    </row>
    <row r="114" spans="1:7">
      <c r="A114">
        <v>1981</v>
      </c>
      <c r="B114">
        <v>0</v>
      </c>
      <c r="C114">
        <v>2E-3</v>
      </c>
      <c r="D114">
        <v>0.187</v>
      </c>
      <c r="E114">
        <v>0.83799999999999997</v>
      </c>
      <c r="F114">
        <v>1</v>
      </c>
      <c r="G114">
        <v>0.43099999999999999</v>
      </c>
    </row>
    <row r="115" spans="1:7">
      <c r="A115">
        <v>1982</v>
      </c>
      <c r="B115">
        <v>0</v>
      </c>
      <c r="C115">
        <v>2E-3</v>
      </c>
      <c r="D115">
        <v>0.187</v>
      </c>
      <c r="E115">
        <v>0.83799999999999997</v>
      </c>
      <c r="F115">
        <v>1</v>
      </c>
      <c r="G115">
        <v>0.43099999999999999</v>
      </c>
    </row>
    <row r="116" spans="1:7">
      <c r="A116">
        <v>1983</v>
      </c>
      <c r="B116">
        <v>0</v>
      </c>
      <c r="C116">
        <v>2E-3</v>
      </c>
      <c r="D116">
        <v>0.187</v>
      </c>
      <c r="E116">
        <v>0.83799999999999997</v>
      </c>
      <c r="F116">
        <v>1</v>
      </c>
      <c r="G116">
        <v>0.43099999999999999</v>
      </c>
    </row>
    <row r="117" spans="1:7">
      <c r="A117">
        <v>1984</v>
      </c>
      <c r="B117">
        <v>0</v>
      </c>
      <c r="C117">
        <v>2E-3</v>
      </c>
      <c r="D117">
        <v>0.187</v>
      </c>
      <c r="E117">
        <v>0.83799999999999997</v>
      </c>
      <c r="F117">
        <v>1</v>
      </c>
      <c r="G117">
        <v>0.43099999999999999</v>
      </c>
    </row>
    <row r="118" spans="1:7">
      <c r="A118">
        <v>1985</v>
      </c>
      <c r="B118">
        <v>0</v>
      </c>
      <c r="C118">
        <v>2E-3</v>
      </c>
      <c r="D118">
        <v>0.187</v>
      </c>
      <c r="E118">
        <v>0.83799999999999997</v>
      </c>
      <c r="F118">
        <v>1</v>
      </c>
      <c r="G118">
        <v>0.43099999999999999</v>
      </c>
    </row>
    <row r="119" spans="1:7">
      <c r="A119">
        <v>1986</v>
      </c>
      <c r="B119">
        <v>0</v>
      </c>
      <c r="C119">
        <v>2E-3</v>
      </c>
      <c r="D119">
        <v>0.187</v>
      </c>
      <c r="E119">
        <v>0.83799999999999997</v>
      </c>
      <c r="F119">
        <v>1</v>
      </c>
      <c r="G119">
        <v>0.43099999999999999</v>
      </c>
    </row>
    <row r="120" spans="1:7">
      <c r="A120">
        <v>1987</v>
      </c>
      <c r="B120">
        <v>0</v>
      </c>
      <c r="C120">
        <v>2E-3</v>
      </c>
      <c r="D120">
        <v>0.187</v>
      </c>
      <c r="E120">
        <v>0.83799999999999997</v>
      </c>
      <c r="F120">
        <v>1</v>
      </c>
      <c r="G120">
        <v>0.43099999999999999</v>
      </c>
    </row>
    <row r="121" spans="1:7">
      <c r="A121">
        <v>1988</v>
      </c>
      <c r="B121">
        <v>0</v>
      </c>
      <c r="C121">
        <v>2E-3</v>
      </c>
      <c r="D121">
        <v>0.187</v>
      </c>
      <c r="E121">
        <v>0.83799999999999997</v>
      </c>
      <c r="F121">
        <v>1</v>
      </c>
      <c r="G121">
        <v>0.43099999999999999</v>
      </c>
    </row>
    <row r="122" spans="1:7">
      <c r="A122">
        <v>1989</v>
      </c>
      <c r="B122">
        <v>0</v>
      </c>
      <c r="C122">
        <v>2E-3</v>
      </c>
      <c r="D122">
        <v>0.187</v>
      </c>
      <c r="E122">
        <v>0.83799999999999997</v>
      </c>
      <c r="F122">
        <v>1</v>
      </c>
      <c r="G122">
        <v>0.43099999999999999</v>
      </c>
    </row>
    <row r="123" spans="1:7">
      <c r="A123">
        <v>1990</v>
      </c>
      <c r="B123">
        <v>0</v>
      </c>
      <c r="C123">
        <v>2E-3</v>
      </c>
      <c r="D123">
        <v>0.187</v>
      </c>
      <c r="E123">
        <v>0.83799999999999997</v>
      </c>
      <c r="F123">
        <v>1</v>
      </c>
      <c r="G123">
        <v>0.43099999999999999</v>
      </c>
    </row>
    <row r="124" spans="1:7">
      <c r="A124">
        <v>1991</v>
      </c>
      <c r="B124">
        <v>0</v>
      </c>
      <c r="C124">
        <v>2E-3</v>
      </c>
      <c r="D124">
        <v>0.187</v>
      </c>
      <c r="E124">
        <v>0.83799999999999997</v>
      </c>
      <c r="F124">
        <v>1</v>
      </c>
      <c r="G124">
        <v>0.43099999999999999</v>
      </c>
    </row>
    <row r="125" spans="1:7">
      <c r="A125">
        <v>1992</v>
      </c>
      <c r="B125">
        <v>0</v>
      </c>
      <c r="C125">
        <v>2E-3</v>
      </c>
      <c r="D125">
        <v>0.187</v>
      </c>
      <c r="E125">
        <v>0.83799999999999997</v>
      </c>
      <c r="F125">
        <v>1</v>
      </c>
      <c r="G125">
        <v>0.43099999999999999</v>
      </c>
    </row>
    <row r="126" spans="1:7">
      <c r="A126">
        <v>1993</v>
      </c>
      <c r="B126">
        <v>0</v>
      </c>
      <c r="C126">
        <v>2E-3</v>
      </c>
      <c r="D126">
        <v>0.187</v>
      </c>
      <c r="E126">
        <v>0.83799999999999997</v>
      </c>
      <c r="F126">
        <v>1</v>
      </c>
      <c r="G126">
        <v>0.43099999999999999</v>
      </c>
    </row>
    <row r="127" spans="1:7">
      <c r="A127">
        <v>1994</v>
      </c>
      <c r="B127">
        <v>0</v>
      </c>
      <c r="C127">
        <v>2E-3</v>
      </c>
      <c r="D127">
        <v>0.187</v>
      </c>
      <c r="E127">
        <v>0.83799999999999997</v>
      </c>
      <c r="F127">
        <v>1</v>
      </c>
      <c r="G127">
        <v>0.43099999999999999</v>
      </c>
    </row>
    <row r="128" spans="1:7">
      <c r="A128">
        <v>1995</v>
      </c>
      <c r="B128">
        <v>0</v>
      </c>
      <c r="C128">
        <v>2E-3</v>
      </c>
      <c r="D128">
        <v>0.187</v>
      </c>
      <c r="E128">
        <v>0.83799999999999997</v>
      </c>
      <c r="F128">
        <v>1</v>
      </c>
      <c r="G128">
        <v>0.43099999999999999</v>
      </c>
    </row>
    <row r="129" spans="1:7">
      <c r="A129">
        <v>1996</v>
      </c>
      <c r="B129">
        <v>0</v>
      </c>
      <c r="C129">
        <v>2E-3</v>
      </c>
      <c r="D129">
        <v>0.187</v>
      </c>
      <c r="E129">
        <v>0.83799999999999997</v>
      </c>
      <c r="F129">
        <v>1</v>
      </c>
      <c r="G129">
        <v>0.43099999999999999</v>
      </c>
    </row>
    <row r="130" spans="1:7">
      <c r="A130">
        <v>1997</v>
      </c>
      <c r="B130">
        <v>0</v>
      </c>
      <c r="C130">
        <v>2E-3</v>
      </c>
      <c r="D130">
        <v>0.187</v>
      </c>
      <c r="E130">
        <v>0.83799999999999997</v>
      </c>
      <c r="F130">
        <v>1</v>
      </c>
      <c r="G130">
        <v>0.43099999999999999</v>
      </c>
    </row>
    <row r="131" spans="1:7">
      <c r="A131">
        <v>1998</v>
      </c>
      <c r="B131">
        <v>0</v>
      </c>
      <c r="C131">
        <v>2E-3</v>
      </c>
      <c r="D131">
        <v>0.187</v>
      </c>
      <c r="E131">
        <v>0.83799999999999997</v>
      </c>
      <c r="F131">
        <v>1</v>
      </c>
      <c r="G131">
        <v>0.43099999999999999</v>
      </c>
    </row>
    <row r="132" spans="1:7">
      <c r="A132">
        <v>1999</v>
      </c>
      <c r="B132">
        <v>0</v>
      </c>
      <c r="C132">
        <v>2E-3</v>
      </c>
      <c r="D132">
        <v>0.187</v>
      </c>
      <c r="E132">
        <v>0.83799999999999997</v>
      </c>
      <c r="F132">
        <v>1</v>
      </c>
      <c r="G132">
        <v>0.43099999999999999</v>
      </c>
    </row>
    <row r="133" spans="1:7">
      <c r="A133">
        <v>2000</v>
      </c>
      <c r="B133">
        <v>0</v>
      </c>
      <c r="C133">
        <v>2E-3</v>
      </c>
      <c r="D133">
        <v>0.187</v>
      </c>
      <c r="E133">
        <v>0.83799999999999997</v>
      </c>
      <c r="F133">
        <v>1</v>
      </c>
      <c r="G133">
        <v>0.43099999999999999</v>
      </c>
    </row>
    <row r="134" spans="1:7">
      <c r="A134">
        <v>2001</v>
      </c>
      <c r="B134">
        <v>0</v>
      </c>
      <c r="C134">
        <v>2E-3</v>
      </c>
      <c r="D134">
        <v>0.187</v>
      </c>
      <c r="E134">
        <v>0.83799999999999997</v>
      </c>
      <c r="F134">
        <v>1</v>
      </c>
      <c r="G134">
        <v>0.43099999999999999</v>
      </c>
    </row>
    <row r="135" spans="1:7">
      <c r="A135">
        <v>2002</v>
      </c>
      <c r="B135">
        <v>0</v>
      </c>
      <c r="C135">
        <v>2E-3</v>
      </c>
      <c r="D135">
        <v>0.187</v>
      </c>
      <c r="E135">
        <v>0.83799999999999997</v>
      </c>
      <c r="F135">
        <v>1</v>
      </c>
      <c r="G135">
        <v>0.43099999999999999</v>
      </c>
    </row>
    <row r="136" spans="1:7">
      <c r="A136">
        <v>2003</v>
      </c>
      <c r="B136">
        <v>0</v>
      </c>
      <c r="C136">
        <v>2E-3</v>
      </c>
      <c r="D136">
        <v>0.187</v>
      </c>
      <c r="E136">
        <v>0.83799999999999997</v>
      </c>
      <c r="F136">
        <v>1</v>
      </c>
      <c r="G136">
        <v>0.43099999999999999</v>
      </c>
    </row>
    <row r="137" spans="1:7">
      <c r="A137">
        <v>2004</v>
      </c>
      <c r="B137">
        <v>0</v>
      </c>
      <c r="C137">
        <v>2E-3</v>
      </c>
      <c r="D137">
        <v>0.187</v>
      </c>
      <c r="E137">
        <v>0.83799999999999997</v>
      </c>
      <c r="F137">
        <v>1</v>
      </c>
      <c r="G137">
        <v>0.43099999999999999</v>
      </c>
    </row>
    <row r="138" spans="1:7">
      <c r="A138">
        <v>2005</v>
      </c>
      <c r="B138">
        <v>0</v>
      </c>
      <c r="C138">
        <v>2E-3</v>
      </c>
      <c r="D138">
        <v>0.187</v>
      </c>
      <c r="E138">
        <v>0.83799999999999997</v>
      </c>
      <c r="F138">
        <v>1</v>
      </c>
      <c r="G138">
        <v>0.43099999999999999</v>
      </c>
    </row>
    <row r="139" spans="1:7">
      <c r="A139">
        <v>2006</v>
      </c>
      <c r="B139">
        <v>0</v>
      </c>
      <c r="C139">
        <v>2E-3</v>
      </c>
      <c r="D139">
        <v>0.187</v>
      </c>
      <c r="E139">
        <v>0.83799999999999997</v>
      </c>
      <c r="F139">
        <v>1</v>
      </c>
      <c r="G139">
        <v>0.43099999999999999</v>
      </c>
    </row>
    <row r="149" spans="1:7">
      <c r="A149" t="str">
        <f>'Titles and Variables'!C19</f>
        <v>USMEX_LL</v>
      </c>
      <c r="B149" t="s">
        <v>61</v>
      </c>
    </row>
    <row r="150" spans="1:7">
      <c r="A150" t="s">
        <v>70</v>
      </c>
      <c r="B150" t="s">
        <v>71</v>
      </c>
      <c r="C150" t="s">
        <v>72</v>
      </c>
    </row>
    <row r="151" spans="1:7">
      <c r="A151" t="s">
        <v>68</v>
      </c>
      <c r="B151">
        <v>0</v>
      </c>
      <c r="C151">
        <v>1</v>
      </c>
      <c r="D151">
        <v>2</v>
      </c>
      <c r="E151">
        <v>3</v>
      </c>
      <c r="F151">
        <v>4</v>
      </c>
      <c r="G151">
        <v>5</v>
      </c>
    </row>
    <row r="152" spans="1:7">
      <c r="A152" t="s">
        <v>69</v>
      </c>
      <c r="B152" t="s">
        <v>73</v>
      </c>
      <c r="C152" t="s">
        <v>73</v>
      </c>
      <c r="D152" t="s">
        <v>73</v>
      </c>
      <c r="E152" t="s">
        <v>73</v>
      </c>
      <c r="F152" t="s">
        <v>73</v>
      </c>
      <c r="G152" t="s">
        <v>73</v>
      </c>
    </row>
    <row r="153" spans="1:7">
      <c r="A153">
        <v>1993</v>
      </c>
      <c r="B153">
        <v>0</v>
      </c>
      <c r="C153">
        <v>6.0000000000000001E-3</v>
      </c>
      <c r="D153">
        <v>0.27</v>
      </c>
      <c r="E153">
        <v>1</v>
      </c>
      <c r="F153">
        <v>0.875</v>
      </c>
      <c r="G153">
        <v>0.123</v>
      </c>
    </row>
    <row r="154" spans="1:7">
      <c r="A154">
        <v>1994</v>
      </c>
      <c r="B154">
        <v>0</v>
      </c>
      <c r="C154">
        <v>6.0000000000000001E-3</v>
      </c>
      <c r="D154">
        <v>0.27</v>
      </c>
      <c r="E154">
        <v>1</v>
      </c>
      <c r="F154">
        <v>0.875</v>
      </c>
      <c r="G154">
        <v>0.123</v>
      </c>
    </row>
    <row r="155" spans="1:7">
      <c r="A155">
        <v>1995</v>
      </c>
      <c r="B155">
        <v>0</v>
      </c>
      <c r="C155">
        <v>6.0000000000000001E-3</v>
      </c>
      <c r="D155">
        <v>0.27</v>
      </c>
      <c r="E155">
        <v>1</v>
      </c>
      <c r="F155">
        <v>0.875</v>
      </c>
      <c r="G155">
        <v>0.123</v>
      </c>
    </row>
    <row r="156" spans="1:7">
      <c r="A156">
        <v>1996</v>
      </c>
      <c r="B156">
        <v>0</v>
      </c>
      <c r="C156">
        <v>6.0000000000000001E-3</v>
      </c>
      <c r="D156">
        <v>0.27</v>
      </c>
      <c r="E156">
        <v>1</v>
      </c>
      <c r="F156">
        <v>0.875</v>
      </c>
      <c r="G156">
        <v>0.123</v>
      </c>
    </row>
    <row r="157" spans="1:7">
      <c r="A157">
        <v>1997</v>
      </c>
      <c r="B157">
        <v>0</v>
      </c>
      <c r="C157">
        <v>6.0000000000000001E-3</v>
      </c>
      <c r="D157">
        <v>0.27</v>
      </c>
      <c r="E157">
        <v>1</v>
      </c>
      <c r="F157">
        <v>0.875</v>
      </c>
      <c r="G157">
        <v>0.123</v>
      </c>
    </row>
    <row r="158" spans="1:7">
      <c r="A158">
        <v>1998</v>
      </c>
      <c r="B158">
        <v>0</v>
      </c>
      <c r="C158">
        <v>6.0000000000000001E-3</v>
      </c>
      <c r="D158">
        <v>0.27</v>
      </c>
      <c r="E158">
        <v>1</v>
      </c>
      <c r="F158">
        <v>0.875</v>
      </c>
      <c r="G158">
        <v>0.123</v>
      </c>
    </row>
    <row r="159" spans="1:7">
      <c r="A159">
        <v>1999</v>
      </c>
      <c r="B159">
        <v>0</v>
      </c>
      <c r="C159">
        <v>6.0000000000000001E-3</v>
      </c>
      <c r="D159">
        <v>0.27</v>
      </c>
      <c r="E159">
        <v>1</v>
      </c>
      <c r="F159">
        <v>0.875</v>
      </c>
      <c r="G159">
        <v>0.123</v>
      </c>
    </row>
    <row r="160" spans="1:7">
      <c r="A160">
        <v>2000</v>
      </c>
      <c r="B160">
        <v>0</v>
      </c>
      <c r="C160">
        <v>6.0000000000000001E-3</v>
      </c>
      <c r="D160">
        <v>0.27</v>
      </c>
      <c r="E160">
        <v>1</v>
      </c>
      <c r="F160">
        <v>0.875</v>
      </c>
      <c r="G160">
        <v>0.123</v>
      </c>
    </row>
    <row r="161" spans="1:7">
      <c r="A161">
        <v>2001</v>
      </c>
      <c r="B161">
        <v>0</v>
      </c>
      <c r="C161">
        <v>6.0000000000000001E-3</v>
      </c>
      <c r="D161">
        <v>0.27</v>
      </c>
      <c r="E161">
        <v>1</v>
      </c>
      <c r="F161">
        <v>0.875</v>
      </c>
      <c r="G161">
        <v>0.123</v>
      </c>
    </row>
    <row r="162" spans="1:7">
      <c r="A162">
        <v>2002</v>
      </c>
      <c r="B162">
        <v>0</v>
      </c>
      <c r="C162">
        <v>6.0000000000000001E-3</v>
      </c>
      <c r="D162">
        <v>0.27</v>
      </c>
      <c r="E162">
        <v>1</v>
      </c>
      <c r="F162">
        <v>0.875</v>
      </c>
      <c r="G162">
        <v>0.123</v>
      </c>
    </row>
    <row r="163" spans="1:7">
      <c r="A163">
        <v>2003</v>
      </c>
      <c r="B163">
        <v>0</v>
      </c>
      <c r="C163">
        <v>6.0000000000000001E-3</v>
      </c>
      <c r="D163">
        <v>0.27</v>
      </c>
      <c r="E163">
        <v>1</v>
      </c>
      <c r="F163">
        <v>0.875</v>
      </c>
      <c r="G163">
        <v>0.123</v>
      </c>
    </row>
    <row r="164" spans="1:7">
      <c r="A164">
        <v>2004</v>
      </c>
      <c r="B164">
        <v>0</v>
      </c>
      <c r="C164">
        <v>6.0000000000000001E-3</v>
      </c>
      <c r="D164">
        <v>0.27</v>
      </c>
      <c r="E164">
        <v>1</v>
      </c>
      <c r="F164">
        <v>0.875</v>
      </c>
      <c r="G164">
        <v>0.123</v>
      </c>
    </row>
    <row r="165" spans="1:7">
      <c r="A165">
        <v>2005</v>
      </c>
      <c r="B165">
        <v>0</v>
      </c>
      <c r="C165">
        <v>6.0000000000000001E-3</v>
      </c>
      <c r="D165">
        <v>0.27</v>
      </c>
      <c r="E165">
        <v>1</v>
      </c>
      <c r="F165">
        <v>0.875</v>
      </c>
      <c r="G165">
        <v>0.123</v>
      </c>
    </row>
    <row r="166" spans="1:7">
      <c r="A166">
        <v>2006</v>
      </c>
      <c r="B166">
        <v>0</v>
      </c>
      <c r="C166">
        <v>6.0000000000000001E-3</v>
      </c>
      <c r="D166">
        <v>0.27</v>
      </c>
      <c r="E166">
        <v>1</v>
      </c>
      <c r="F166">
        <v>0.875</v>
      </c>
      <c r="G166">
        <v>0.123</v>
      </c>
    </row>
    <row r="199" spans="1:7">
      <c r="A199" t="str">
        <f>'Titles and Variables'!C20</f>
        <v>US_RR</v>
      </c>
      <c r="B199" t="s">
        <v>61</v>
      </c>
    </row>
    <row r="200" spans="1:7">
      <c r="A200" t="s">
        <v>70</v>
      </c>
      <c r="B200" t="s">
        <v>71</v>
      </c>
      <c r="C200" t="s">
        <v>72</v>
      </c>
    </row>
    <row r="201" spans="1:7">
      <c r="A201" t="s">
        <v>68</v>
      </c>
      <c r="B201">
        <v>0</v>
      </c>
      <c r="C201">
        <v>1</v>
      </c>
      <c r="D201">
        <v>2</v>
      </c>
      <c r="E201">
        <v>3</v>
      </c>
      <c r="F201">
        <v>4</v>
      </c>
      <c r="G201">
        <v>5</v>
      </c>
    </row>
    <row r="202" spans="1:7">
      <c r="A202" t="s">
        <v>69</v>
      </c>
      <c r="B202" t="s">
        <v>73</v>
      </c>
      <c r="C202" t="s">
        <v>73</v>
      </c>
      <c r="D202" t="s">
        <v>73</v>
      </c>
      <c r="E202" t="s">
        <v>73</v>
      </c>
      <c r="F202" t="s">
        <v>73</v>
      </c>
      <c r="G202" t="s">
        <v>73</v>
      </c>
    </row>
    <row r="203" spans="1:7">
      <c r="A203">
        <v>1986</v>
      </c>
      <c r="B203">
        <v>0</v>
      </c>
      <c r="C203">
        <v>0.09</v>
      </c>
      <c r="D203">
        <v>1</v>
      </c>
      <c r="E203">
        <v>0.19600000000000001</v>
      </c>
      <c r="F203">
        <v>9.9000000000000005E-2</v>
      </c>
      <c r="G203">
        <v>7.1999999999999995E-2</v>
      </c>
    </row>
    <row r="204" spans="1:7">
      <c r="A204">
        <v>1987</v>
      </c>
      <c r="B204">
        <v>0</v>
      </c>
      <c r="C204">
        <v>0.09</v>
      </c>
      <c r="D204">
        <v>1</v>
      </c>
      <c r="E204">
        <v>0.19600000000000001</v>
      </c>
      <c r="F204">
        <v>9.9000000000000005E-2</v>
      </c>
      <c r="G204">
        <v>7.1999999999999995E-2</v>
      </c>
    </row>
    <row r="205" spans="1:7">
      <c r="A205">
        <v>1988</v>
      </c>
      <c r="B205">
        <v>0</v>
      </c>
      <c r="C205">
        <v>0.09</v>
      </c>
      <c r="D205">
        <v>1</v>
      </c>
      <c r="E205">
        <v>0.19600000000000001</v>
      </c>
      <c r="F205">
        <v>9.9000000000000005E-2</v>
      </c>
      <c r="G205">
        <v>7.1999999999999995E-2</v>
      </c>
    </row>
    <row r="206" spans="1:7">
      <c r="A206">
        <v>1989</v>
      </c>
      <c r="B206">
        <v>0</v>
      </c>
      <c r="C206">
        <v>0.09</v>
      </c>
      <c r="D206">
        <v>1</v>
      </c>
      <c r="E206">
        <v>0.19600000000000001</v>
      </c>
      <c r="F206">
        <v>9.9000000000000005E-2</v>
      </c>
      <c r="G206">
        <v>7.1999999999999995E-2</v>
      </c>
    </row>
    <row r="207" spans="1:7">
      <c r="A207">
        <v>1990</v>
      </c>
      <c r="B207">
        <v>0</v>
      </c>
      <c r="C207">
        <v>0.09</v>
      </c>
      <c r="D207">
        <v>1</v>
      </c>
      <c r="E207">
        <v>0.19600000000000001</v>
      </c>
      <c r="F207">
        <v>9.9000000000000005E-2</v>
      </c>
      <c r="G207">
        <v>7.1999999999999995E-2</v>
      </c>
    </row>
    <row r="208" spans="1:7">
      <c r="A208">
        <v>1991</v>
      </c>
      <c r="B208">
        <v>0</v>
      </c>
      <c r="C208">
        <v>0.09</v>
      </c>
      <c r="D208">
        <v>1</v>
      </c>
      <c r="E208">
        <v>0.19600000000000001</v>
      </c>
      <c r="F208">
        <v>9.9000000000000005E-2</v>
      </c>
      <c r="G208">
        <v>7.1999999999999995E-2</v>
      </c>
    </row>
    <row r="209" spans="1:7">
      <c r="A209">
        <v>1992</v>
      </c>
      <c r="B209">
        <v>0</v>
      </c>
      <c r="C209">
        <v>0.09</v>
      </c>
      <c r="D209">
        <v>1</v>
      </c>
      <c r="E209">
        <v>0.19600000000000001</v>
      </c>
      <c r="F209">
        <v>9.9000000000000005E-2</v>
      </c>
      <c r="G209">
        <v>7.1999999999999995E-2</v>
      </c>
    </row>
    <row r="210" spans="1:7">
      <c r="A210">
        <v>1993</v>
      </c>
      <c r="B210">
        <v>0</v>
      </c>
      <c r="C210">
        <v>0.09</v>
      </c>
      <c r="D210">
        <v>1</v>
      </c>
      <c r="E210">
        <v>0.19600000000000001</v>
      </c>
      <c r="F210">
        <v>9.9000000000000005E-2</v>
      </c>
      <c r="G210">
        <v>7.1999999999999995E-2</v>
      </c>
    </row>
    <row r="211" spans="1:7">
      <c r="A211">
        <v>1994</v>
      </c>
      <c r="B211">
        <v>0</v>
      </c>
      <c r="C211">
        <v>0.09</v>
      </c>
      <c r="D211">
        <v>1</v>
      </c>
      <c r="E211">
        <v>0.19600000000000001</v>
      </c>
      <c r="F211">
        <v>9.9000000000000005E-2</v>
      </c>
      <c r="G211">
        <v>7.1999999999999995E-2</v>
      </c>
    </row>
    <row r="212" spans="1:7">
      <c r="A212">
        <v>1995</v>
      </c>
      <c r="B212">
        <v>0</v>
      </c>
      <c r="C212">
        <v>0.09</v>
      </c>
      <c r="D212">
        <v>1</v>
      </c>
      <c r="E212">
        <v>0.19600000000000001</v>
      </c>
      <c r="F212">
        <v>9.9000000000000005E-2</v>
      </c>
      <c r="G212">
        <v>7.1999999999999995E-2</v>
      </c>
    </row>
    <row r="213" spans="1:7">
      <c r="A213">
        <v>1996</v>
      </c>
      <c r="B213">
        <v>0</v>
      </c>
      <c r="C213">
        <v>0.09</v>
      </c>
      <c r="D213">
        <v>1</v>
      </c>
      <c r="E213">
        <v>0.19600000000000001</v>
      </c>
      <c r="F213">
        <v>9.9000000000000005E-2</v>
      </c>
      <c r="G213">
        <v>7.1999999999999995E-2</v>
      </c>
    </row>
    <row r="214" spans="1:7">
      <c r="A214">
        <v>1997</v>
      </c>
      <c r="B214">
        <v>0</v>
      </c>
      <c r="C214">
        <v>0.09</v>
      </c>
      <c r="D214">
        <v>1</v>
      </c>
      <c r="E214">
        <v>0.19600000000000001</v>
      </c>
      <c r="F214">
        <v>9.9000000000000005E-2</v>
      </c>
      <c r="G214">
        <v>7.1999999999999995E-2</v>
      </c>
    </row>
    <row r="215" spans="1:7">
      <c r="A215">
        <v>1998</v>
      </c>
      <c r="B215">
        <v>0</v>
      </c>
      <c r="C215">
        <v>0.09</v>
      </c>
      <c r="D215">
        <v>1</v>
      </c>
      <c r="E215">
        <v>0.19600000000000001</v>
      </c>
      <c r="F215">
        <v>9.9000000000000005E-2</v>
      </c>
      <c r="G215">
        <v>7.1999999999999995E-2</v>
      </c>
    </row>
    <row r="216" spans="1:7">
      <c r="A216">
        <v>1999</v>
      </c>
      <c r="B216">
        <v>0</v>
      </c>
      <c r="C216">
        <v>0.09</v>
      </c>
      <c r="D216">
        <v>1</v>
      </c>
      <c r="E216">
        <v>0.19600000000000001</v>
      </c>
      <c r="F216">
        <v>9.9000000000000005E-2</v>
      </c>
      <c r="G216">
        <v>7.1999999999999995E-2</v>
      </c>
    </row>
    <row r="217" spans="1:7">
      <c r="A217">
        <v>2000</v>
      </c>
      <c r="B217">
        <v>0</v>
      </c>
      <c r="C217">
        <v>0.09</v>
      </c>
      <c r="D217">
        <v>1</v>
      </c>
      <c r="E217">
        <v>0.19600000000000001</v>
      </c>
      <c r="F217">
        <v>9.9000000000000005E-2</v>
      </c>
      <c r="G217">
        <v>7.1999999999999995E-2</v>
      </c>
    </row>
    <row r="218" spans="1:7">
      <c r="A218">
        <v>2001</v>
      </c>
      <c r="B218">
        <v>0</v>
      </c>
      <c r="C218">
        <v>0.09</v>
      </c>
      <c r="D218">
        <v>1</v>
      </c>
      <c r="E218">
        <v>0.19600000000000001</v>
      </c>
      <c r="F218">
        <v>9.9000000000000005E-2</v>
      </c>
      <c r="G218">
        <v>7.1999999999999995E-2</v>
      </c>
    </row>
    <row r="219" spans="1:7">
      <c r="A219">
        <v>2002</v>
      </c>
      <c r="B219">
        <v>0</v>
      </c>
      <c r="C219">
        <v>0.09</v>
      </c>
      <c r="D219">
        <v>1</v>
      </c>
      <c r="E219">
        <v>0.19600000000000001</v>
      </c>
      <c r="F219">
        <v>9.9000000000000005E-2</v>
      </c>
      <c r="G219">
        <v>7.1999999999999995E-2</v>
      </c>
    </row>
    <row r="220" spans="1:7">
      <c r="A220">
        <v>2003</v>
      </c>
      <c r="B220">
        <v>0</v>
      </c>
      <c r="C220">
        <v>0.09</v>
      </c>
      <c r="D220">
        <v>1</v>
      </c>
      <c r="E220">
        <v>0.19600000000000001</v>
      </c>
      <c r="F220">
        <v>9.9000000000000005E-2</v>
      </c>
      <c r="G220">
        <v>7.1999999999999995E-2</v>
      </c>
    </row>
    <row r="221" spans="1:7">
      <c r="A221">
        <v>2004</v>
      </c>
      <c r="B221">
        <v>0</v>
      </c>
      <c r="C221">
        <v>0.09</v>
      </c>
      <c r="D221">
        <v>1</v>
      </c>
      <c r="E221">
        <v>0.19600000000000001</v>
      </c>
      <c r="F221">
        <v>9.9000000000000005E-2</v>
      </c>
      <c r="G221">
        <v>7.1999999999999995E-2</v>
      </c>
    </row>
    <row r="222" spans="1:7">
      <c r="A222">
        <v>2005</v>
      </c>
      <c r="B222">
        <v>0</v>
      </c>
      <c r="C222">
        <v>0.09</v>
      </c>
      <c r="D222">
        <v>1</v>
      </c>
      <c r="E222">
        <v>0.19600000000000001</v>
      </c>
      <c r="F222">
        <v>9.9000000000000005E-2</v>
      </c>
      <c r="G222">
        <v>7.1999999999999995E-2</v>
      </c>
    </row>
    <row r="223" spans="1:7">
      <c r="A223">
        <v>2006</v>
      </c>
      <c r="B223">
        <v>0</v>
      </c>
      <c r="C223">
        <v>0.09</v>
      </c>
      <c r="D223">
        <v>1</v>
      </c>
      <c r="E223">
        <v>0.19600000000000001</v>
      </c>
      <c r="F223">
        <v>9.9000000000000005E-2</v>
      </c>
      <c r="G223">
        <v>7.1999999999999995E-2</v>
      </c>
    </row>
    <row r="249" spans="1:7">
      <c r="A249" t="str">
        <f>'Titles and Variables'!C21</f>
        <v>US_PLL ATL</v>
      </c>
      <c r="B249" t="s">
        <v>61</v>
      </c>
    </row>
    <row r="250" spans="1:7">
      <c r="A250" t="s">
        <v>70</v>
      </c>
      <c r="B250" t="s">
        <v>71</v>
      </c>
      <c r="C250" t="s">
        <v>72</v>
      </c>
    </row>
    <row r="251" spans="1:7">
      <c r="A251" t="s">
        <v>68</v>
      </c>
      <c r="B251">
        <v>0</v>
      </c>
      <c r="C251">
        <v>1</v>
      </c>
      <c r="D251">
        <v>2</v>
      </c>
      <c r="E251">
        <v>3</v>
      </c>
      <c r="F251">
        <v>4</v>
      </c>
      <c r="G251">
        <v>5</v>
      </c>
    </row>
    <row r="252" spans="1:7">
      <c r="A252" t="s">
        <v>69</v>
      </c>
      <c r="B252" t="s">
        <v>73</v>
      </c>
      <c r="C252" t="s">
        <v>73</v>
      </c>
      <c r="D252" t="s">
        <v>73</v>
      </c>
      <c r="E252" t="s">
        <v>73</v>
      </c>
      <c r="F252" t="s">
        <v>73</v>
      </c>
      <c r="G252" t="s">
        <v>73</v>
      </c>
    </row>
    <row r="253" spans="1:7">
      <c r="A253">
        <v>1987</v>
      </c>
      <c r="B253">
        <v>0</v>
      </c>
      <c r="C253">
        <v>5.0000000000000001E-3</v>
      </c>
      <c r="D253">
        <v>0.245</v>
      </c>
      <c r="E253">
        <v>1</v>
      </c>
      <c r="F253">
        <v>0.63700000000000001</v>
      </c>
      <c r="G253">
        <v>7.2999999999999995E-2</v>
      </c>
    </row>
    <row r="254" spans="1:7">
      <c r="A254">
        <v>1988</v>
      </c>
      <c r="B254">
        <v>0</v>
      </c>
      <c r="C254">
        <v>5.0000000000000001E-3</v>
      </c>
      <c r="D254">
        <v>0.245</v>
      </c>
      <c r="E254">
        <v>1</v>
      </c>
      <c r="F254">
        <v>0.63700000000000001</v>
      </c>
      <c r="G254">
        <v>7.2999999999999995E-2</v>
      </c>
    </row>
    <row r="255" spans="1:7">
      <c r="A255">
        <v>1989</v>
      </c>
      <c r="B255">
        <v>0</v>
      </c>
      <c r="C255">
        <v>5.0000000000000001E-3</v>
      </c>
      <c r="D255">
        <v>0.245</v>
      </c>
      <c r="E255">
        <v>1</v>
      </c>
      <c r="F255">
        <v>0.63700000000000001</v>
      </c>
      <c r="G255">
        <v>7.2999999999999995E-2</v>
      </c>
    </row>
    <row r="256" spans="1:7">
      <c r="A256">
        <v>1990</v>
      </c>
      <c r="B256">
        <v>0</v>
      </c>
      <c r="C256">
        <v>5.0000000000000001E-3</v>
      </c>
      <c r="D256">
        <v>0.245</v>
      </c>
      <c r="E256">
        <v>1</v>
      </c>
      <c r="F256">
        <v>0.63700000000000001</v>
      </c>
      <c r="G256">
        <v>7.2999999999999995E-2</v>
      </c>
    </row>
    <row r="257" spans="1:7">
      <c r="A257">
        <v>1991</v>
      </c>
      <c r="B257">
        <v>0</v>
      </c>
      <c r="C257">
        <v>5.0000000000000001E-3</v>
      </c>
      <c r="D257">
        <v>0.245</v>
      </c>
      <c r="E257">
        <v>1</v>
      </c>
      <c r="F257">
        <v>0.63700000000000001</v>
      </c>
      <c r="G257">
        <v>7.2999999999999995E-2</v>
      </c>
    </row>
    <row r="258" spans="1:7">
      <c r="A258">
        <v>1992</v>
      </c>
      <c r="B258">
        <v>0</v>
      </c>
      <c r="C258">
        <v>5.0000000000000001E-3</v>
      </c>
      <c r="D258">
        <v>0.245</v>
      </c>
      <c r="E258">
        <v>1</v>
      </c>
      <c r="F258">
        <v>0.63700000000000001</v>
      </c>
      <c r="G258">
        <v>7.2999999999999995E-2</v>
      </c>
    </row>
    <row r="259" spans="1:7">
      <c r="A259">
        <v>1993</v>
      </c>
      <c r="B259">
        <v>0</v>
      </c>
      <c r="C259">
        <v>5.0000000000000001E-3</v>
      </c>
      <c r="D259">
        <v>0.245</v>
      </c>
      <c r="E259">
        <v>1</v>
      </c>
      <c r="F259">
        <v>0.63700000000000001</v>
      </c>
      <c r="G259">
        <v>7.2999999999999995E-2</v>
      </c>
    </row>
    <row r="260" spans="1:7">
      <c r="A260">
        <v>1994</v>
      </c>
      <c r="B260">
        <v>0</v>
      </c>
      <c r="C260">
        <v>5.0000000000000001E-3</v>
      </c>
      <c r="D260">
        <v>0.245</v>
      </c>
      <c r="E260">
        <v>1</v>
      </c>
      <c r="F260">
        <v>0.63700000000000001</v>
      </c>
      <c r="G260">
        <v>7.2999999999999995E-2</v>
      </c>
    </row>
    <row r="261" spans="1:7">
      <c r="A261">
        <v>1995</v>
      </c>
      <c r="B261">
        <v>0</v>
      </c>
      <c r="C261">
        <v>5.0000000000000001E-3</v>
      </c>
      <c r="D261">
        <v>0.245</v>
      </c>
      <c r="E261">
        <v>1</v>
      </c>
      <c r="F261">
        <v>0.63700000000000001</v>
      </c>
      <c r="G261">
        <v>7.2999999999999995E-2</v>
      </c>
    </row>
    <row r="262" spans="1:7">
      <c r="A262">
        <v>1996</v>
      </c>
      <c r="B262">
        <v>0</v>
      </c>
      <c r="C262">
        <v>5.0000000000000001E-3</v>
      </c>
      <c r="D262">
        <v>0.245</v>
      </c>
      <c r="E262">
        <v>1</v>
      </c>
      <c r="F262">
        <v>0.63700000000000001</v>
      </c>
      <c r="G262">
        <v>7.2999999999999995E-2</v>
      </c>
    </row>
    <row r="263" spans="1:7">
      <c r="A263">
        <v>1997</v>
      </c>
      <c r="B263">
        <v>0</v>
      </c>
      <c r="C263">
        <v>5.0000000000000001E-3</v>
      </c>
      <c r="D263">
        <v>0.245</v>
      </c>
      <c r="E263">
        <v>1</v>
      </c>
      <c r="F263">
        <v>0.63700000000000001</v>
      </c>
      <c r="G263">
        <v>7.2999999999999995E-2</v>
      </c>
    </row>
    <row r="264" spans="1:7">
      <c r="A264">
        <v>1998</v>
      </c>
      <c r="B264">
        <v>0</v>
      </c>
      <c r="C264">
        <v>5.0000000000000001E-3</v>
      </c>
      <c r="D264">
        <v>0.245</v>
      </c>
      <c r="E264">
        <v>1</v>
      </c>
      <c r="F264">
        <v>0.63700000000000001</v>
      </c>
      <c r="G264">
        <v>7.2999999999999995E-2</v>
      </c>
    </row>
    <row r="265" spans="1:7">
      <c r="A265">
        <v>1999</v>
      </c>
      <c r="B265">
        <v>0</v>
      </c>
      <c r="C265">
        <v>5.0000000000000001E-3</v>
      </c>
      <c r="D265">
        <v>0.245</v>
      </c>
      <c r="E265">
        <v>1</v>
      </c>
      <c r="F265">
        <v>0.63700000000000001</v>
      </c>
      <c r="G265">
        <v>7.2999999999999995E-2</v>
      </c>
    </row>
    <row r="266" spans="1:7">
      <c r="A266">
        <v>2000</v>
      </c>
      <c r="B266">
        <v>0</v>
      </c>
      <c r="C266">
        <v>5.0000000000000001E-3</v>
      </c>
      <c r="D266">
        <v>0.245</v>
      </c>
      <c r="E266">
        <v>1</v>
      </c>
      <c r="F266">
        <v>0.63700000000000001</v>
      </c>
      <c r="G266">
        <v>7.2999999999999995E-2</v>
      </c>
    </row>
    <row r="267" spans="1:7">
      <c r="A267">
        <v>2001</v>
      </c>
      <c r="B267">
        <v>0</v>
      </c>
      <c r="C267">
        <v>5.0000000000000001E-3</v>
      </c>
      <c r="D267">
        <v>0.245</v>
      </c>
      <c r="E267">
        <v>1</v>
      </c>
      <c r="F267">
        <v>0.63700000000000001</v>
      </c>
      <c r="G267">
        <v>7.2999999999999995E-2</v>
      </c>
    </row>
    <row r="268" spans="1:7">
      <c r="A268">
        <v>2002</v>
      </c>
      <c r="B268">
        <v>0</v>
      </c>
      <c r="C268">
        <v>5.0000000000000001E-3</v>
      </c>
      <c r="D268">
        <v>0.245</v>
      </c>
      <c r="E268">
        <v>1</v>
      </c>
      <c r="F268">
        <v>0.63700000000000001</v>
      </c>
      <c r="G268">
        <v>7.2999999999999995E-2</v>
      </c>
    </row>
    <row r="269" spans="1:7">
      <c r="A269">
        <v>2003</v>
      </c>
      <c r="B269">
        <v>0</v>
      </c>
      <c r="C269">
        <v>5.0000000000000001E-3</v>
      </c>
      <c r="D269">
        <v>0.245</v>
      </c>
      <c r="E269">
        <v>1</v>
      </c>
      <c r="F269">
        <v>0.63700000000000001</v>
      </c>
      <c r="G269">
        <v>7.2999999999999995E-2</v>
      </c>
    </row>
    <row r="270" spans="1:7">
      <c r="A270">
        <v>2004</v>
      </c>
      <c r="B270">
        <v>0</v>
      </c>
      <c r="C270">
        <v>5.0000000000000001E-3</v>
      </c>
      <c r="D270">
        <v>0.245</v>
      </c>
      <c r="E270">
        <v>1</v>
      </c>
      <c r="F270">
        <v>0.63700000000000001</v>
      </c>
      <c r="G270">
        <v>7.2999999999999995E-2</v>
      </c>
    </row>
    <row r="271" spans="1:7">
      <c r="A271">
        <v>2005</v>
      </c>
      <c r="B271">
        <v>0</v>
      </c>
      <c r="C271">
        <v>5.0000000000000001E-3</v>
      </c>
      <c r="D271">
        <v>0.245</v>
      </c>
      <c r="E271">
        <v>1</v>
      </c>
      <c r="F271">
        <v>0.63700000000000001</v>
      </c>
      <c r="G271">
        <v>7.2999999999999995E-2</v>
      </c>
    </row>
    <row r="272" spans="1:7">
      <c r="A272">
        <v>2006</v>
      </c>
      <c r="B272">
        <v>0</v>
      </c>
      <c r="C272">
        <v>5.0000000000000001E-3</v>
      </c>
      <c r="D272">
        <v>0.245</v>
      </c>
      <c r="E272">
        <v>1</v>
      </c>
      <c r="F272">
        <v>0.63700000000000001</v>
      </c>
      <c r="G272">
        <v>7.2999999999999995E-2</v>
      </c>
    </row>
    <row r="299" spans="1:7">
      <c r="A299" t="str">
        <f>'Titles and Variables'!C22</f>
        <v>VEN_LL</v>
      </c>
      <c r="B299" t="s">
        <v>61</v>
      </c>
    </row>
    <row r="300" spans="1:7">
      <c r="A300" t="s">
        <v>70</v>
      </c>
      <c r="B300" t="s">
        <v>71</v>
      </c>
      <c r="C300" t="s">
        <v>72</v>
      </c>
    </row>
    <row r="301" spans="1:7">
      <c r="A301" t="s">
        <v>68</v>
      </c>
      <c r="B301">
        <v>0</v>
      </c>
      <c r="C301">
        <v>1</v>
      </c>
      <c r="D301">
        <v>2</v>
      </c>
      <c r="E301">
        <v>3</v>
      </c>
      <c r="F301">
        <v>4</v>
      </c>
      <c r="G301">
        <v>5</v>
      </c>
    </row>
    <row r="302" spans="1:7">
      <c r="A302" t="s">
        <v>69</v>
      </c>
      <c r="B302" t="s">
        <v>73</v>
      </c>
      <c r="C302" t="s">
        <v>73</v>
      </c>
      <c r="D302" t="s">
        <v>73</v>
      </c>
      <c r="E302" t="s">
        <v>73</v>
      </c>
      <c r="F302" t="s">
        <v>73</v>
      </c>
      <c r="G302" t="s">
        <v>73</v>
      </c>
    </row>
    <row r="303" spans="1:7">
      <c r="A303">
        <v>1991</v>
      </c>
      <c r="B303">
        <v>0</v>
      </c>
      <c r="C303">
        <v>1.2E-2</v>
      </c>
      <c r="D303">
        <v>9.5000000000000001E-2</v>
      </c>
      <c r="E303">
        <v>0.7</v>
      </c>
      <c r="F303">
        <v>1</v>
      </c>
      <c r="G303">
        <v>0.71</v>
      </c>
    </row>
    <row r="304" spans="1:7">
      <c r="A304">
        <v>1992</v>
      </c>
      <c r="B304">
        <v>0</v>
      </c>
      <c r="C304">
        <v>1.2E-2</v>
      </c>
      <c r="D304">
        <v>9.5000000000000001E-2</v>
      </c>
      <c r="E304">
        <v>0.7</v>
      </c>
      <c r="F304">
        <v>1</v>
      </c>
      <c r="G304">
        <v>0.71</v>
      </c>
    </row>
    <row r="305" spans="1:7">
      <c r="A305">
        <v>1993</v>
      </c>
      <c r="B305">
        <v>0</v>
      </c>
      <c r="C305">
        <v>1.2E-2</v>
      </c>
      <c r="D305">
        <v>9.5000000000000001E-2</v>
      </c>
      <c r="E305">
        <v>0.7</v>
      </c>
      <c r="F305">
        <v>1</v>
      </c>
      <c r="G305">
        <v>0.71</v>
      </c>
    </row>
    <row r="306" spans="1:7">
      <c r="A306">
        <v>1994</v>
      </c>
      <c r="B306">
        <v>0</v>
      </c>
      <c r="C306">
        <v>1.2E-2</v>
      </c>
      <c r="D306">
        <v>9.5000000000000001E-2</v>
      </c>
      <c r="E306">
        <v>0.7</v>
      </c>
      <c r="F306">
        <v>1</v>
      </c>
      <c r="G306">
        <v>0.71</v>
      </c>
    </row>
    <row r="307" spans="1:7">
      <c r="A307">
        <v>1995</v>
      </c>
      <c r="B307">
        <v>0</v>
      </c>
      <c r="C307">
        <v>1.2E-2</v>
      </c>
      <c r="D307">
        <v>9.5000000000000001E-2</v>
      </c>
      <c r="E307">
        <v>0.7</v>
      </c>
      <c r="F307">
        <v>1</v>
      </c>
      <c r="G307">
        <v>0.71</v>
      </c>
    </row>
    <row r="308" spans="1:7">
      <c r="A308">
        <v>1996</v>
      </c>
      <c r="B308">
        <v>0</v>
      </c>
      <c r="C308">
        <v>1.2E-2</v>
      </c>
      <c r="D308">
        <v>9.5000000000000001E-2</v>
      </c>
      <c r="E308">
        <v>0.7</v>
      </c>
      <c r="F308">
        <v>1</v>
      </c>
      <c r="G308">
        <v>0.71</v>
      </c>
    </row>
    <row r="309" spans="1:7">
      <c r="A309">
        <v>1997</v>
      </c>
      <c r="B309">
        <v>0</v>
      </c>
      <c r="C309">
        <v>1.2E-2</v>
      </c>
      <c r="D309">
        <v>9.5000000000000001E-2</v>
      </c>
      <c r="E309">
        <v>0.7</v>
      </c>
      <c r="F309">
        <v>1</v>
      </c>
      <c r="G309">
        <v>0.71</v>
      </c>
    </row>
    <row r="310" spans="1:7">
      <c r="A310">
        <v>1998</v>
      </c>
      <c r="B310">
        <v>0</v>
      </c>
      <c r="C310">
        <v>1.2E-2</v>
      </c>
      <c r="D310">
        <v>9.5000000000000001E-2</v>
      </c>
      <c r="E310">
        <v>0.7</v>
      </c>
      <c r="F310">
        <v>1</v>
      </c>
      <c r="G310">
        <v>0.71</v>
      </c>
    </row>
    <row r="311" spans="1:7">
      <c r="A311">
        <v>1999</v>
      </c>
      <c r="B311">
        <v>0</v>
      </c>
      <c r="C311">
        <v>1.2E-2</v>
      </c>
      <c r="D311">
        <v>9.5000000000000001E-2</v>
      </c>
      <c r="E311">
        <v>0.7</v>
      </c>
      <c r="F311">
        <v>1</v>
      </c>
      <c r="G311">
        <v>0.71</v>
      </c>
    </row>
    <row r="312" spans="1:7">
      <c r="A312">
        <v>2000</v>
      </c>
      <c r="B312">
        <v>0</v>
      </c>
      <c r="C312">
        <v>1.2E-2</v>
      </c>
      <c r="D312">
        <v>9.5000000000000001E-2</v>
      </c>
      <c r="E312">
        <v>0.7</v>
      </c>
      <c r="F312">
        <v>1</v>
      </c>
      <c r="G312">
        <v>0.71</v>
      </c>
    </row>
    <row r="313" spans="1:7">
      <c r="A313">
        <v>2001</v>
      </c>
      <c r="B313">
        <v>0</v>
      </c>
      <c r="C313">
        <v>1.2E-2</v>
      </c>
      <c r="D313">
        <v>9.5000000000000001E-2</v>
      </c>
      <c r="E313">
        <v>0.7</v>
      </c>
      <c r="F313">
        <v>1</v>
      </c>
      <c r="G313">
        <v>0.71</v>
      </c>
    </row>
    <row r="349" spans="1:6">
      <c r="A349" t="str">
        <f>'Titles and Variables'!C23</f>
        <v>VEN_PS</v>
      </c>
      <c r="B349" t="s">
        <v>61</v>
      </c>
    </row>
    <row r="350" spans="1:6">
      <c r="A350" t="s">
        <v>70</v>
      </c>
      <c r="B350" t="s">
        <v>71</v>
      </c>
      <c r="C350" t="s">
        <v>72</v>
      </c>
    </row>
    <row r="351" spans="1:6">
      <c r="A351" t="s">
        <v>68</v>
      </c>
      <c r="B351">
        <v>0</v>
      </c>
      <c r="C351">
        <v>1</v>
      </c>
      <c r="D351">
        <v>2</v>
      </c>
      <c r="E351">
        <v>3</v>
      </c>
      <c r="F351">
        <v>4</v>
      </c>
    </row>
    <row r="352" spans="1:6">
      <c r="A352" t="s">
        <v>69</v>
      </c>
      <c r="B352" t="s">
        <v>73</v>
      </c>
      <c r="C352" t="s">
        <v>73</v>
      </c>
      <c r="D352" t="s">
        <v>73</v>
      </c>
      <c r="E352" t="s">
        <v>73</v>
      </c>
      <c r="F352" t="s">
        <v>73</v>
      </c>
    </row>
    <row r="353" spans="1:6">
      <c r="A353">
        <v>1983</v>
      </c>
      <c r="B353">
        <v>1.2E-2</v>
      </c>
      <c r="C353">
        <v>0.54</v>
      </c>
      <c r="D353">
        <v>0.79300000000000004</v>
      </c>
      <c r="E353">
        <v>1</v>
      </c>
      <c r="F353">
        <v>0.26100000000000001</v>
      </c>
    </row>
    <row r="354" spans="1:6">
      <c r="A354">
        <v>1984</v>
      </c>
      <c r="B354">
        <v>1.2E-2</v>
      </c>
      <c r="C354">
        <v>0.54</v>
      </c>
      <c r="D354">
        <v>0.79300000000000004</v>
      </c>
      <c r="E354">
        <v>1</v>
      </c>
      <c r="F354">
        <v>0.26100000000000001</v>
      </c>
    </row>
    <row r="355" spans="1:6">
      <c r="A355">
        <v>1985</v>
      </c>
      <c r="B355">
        <v>1.2E-2</v>
      </c>
      <c r="C355">
        <v>0.54</v>
      </c>
      <c r="D355">
        <v>0.79300000000000004</v>
      </c>
      <c r="E355">
        <v>1</v>
      </c>
      <c r="F355">
        <v>0.26100000000000001</v>
      </c>
    </row>
    <row r="356" spans="1:6">
      <c r="A356">
        <v>1986</v>
      </c>
      <c r="B356">
        <v>1.2E-2</v>
      </c>
      <c r="C356">
        <v>0.54</v>
      </c>
      <c r="D356">
        <v>0.79300000000000004</v>
      </c>
      <c r="E356">
        <v>1</v>
      </c>
      <c r="F356">
        <v>0.26100000000000001</v>
      </c>
    </row>
    <row r="357" spans="1:6">
      <c r="A357">
        <v>1987</v>
      </c>
      <c r="B357">
        <v>1.2E-2</v>
      </c>
      <c r="C357">
        <v>0.54</v>
      </c>
      <c r="D357">
        <v>0.79300000000000004</v>
      </c>
      <c r="E357">
        <v>1</v>
      </c>
      <c r="F357">
        <v>0.26100000000000001</v>
      </c>
    </row>
    <row r="358" spans="1:6">
      <c r="A358">
        <v>1988</v>
      </c>
      <c r="B358">
        <v>1.2E-2</v>
      </c>
      <c r="C358">
        <v>0.54</v>
      </c>
      <c r="D358">
        <v>0.79300000000000004</v>
      </c>
      <c r="E358">
        <v>1</v>
      </c>
      <c r="F358">
        <v>0.26100000000000001</v>
      </c>
    </row>
    <row r="359" spans="1:6">
      <c r="A359">
        <v>1989</v>
      </c>
      <c r="B359">
        <v>1.2E-2</v>
      </c>
      <c r="C359">
        <v>0.54</v>
      </c>
      <c r="D359">
        <v>0.79300000000000004</v>
      </c>
      <c r="E359">
        <v>1</v>
      </c>
      <c r="F359">
        <v>0.26100000000000001</v>
      </c>
    </row>
    <row r="360" spans="1:6">
      <c r="A360">
        <v>1990</v>
      </c>
      <c r="B360">
        <v>1.2E-2</v>
      </c>
      <c r="C360">
        <v>0.54</v>
      </c>
      <c r="D360">
        <v>0.79300000000000004</v>
      </c>
      <c r="E360">
        <v>1</v>
      </c>
      <c r="F360">
        <v>0.26100000000000001</v>
      </c>
    </row>
    <row r="361" spans="1:6">
      <c r="A361">
        <v>1991</v>
      </c>
      <c r="B361">
        <v>1.2E-2</v>
      </c>
      <c r="C361">
        <v>0.54</v>
      </c>
      <c r="D361">
        <v>0.79300000000000004</v>
      </c>
      <c r="E361">
        <v>1</v>
      </c>
      <c r="F361">
        <v>0.26100000000000001</v>
      </c>
    </row>
    <row r="362" spans="1:6">
      <c r="A362">
        <v>1992</v>
      </c>
      <c r="B362">
        <v>1.2E-2</v>
      </c>
      <c r="C362">
        <v>0.54</v>
      </c>
      <c r="D362">
        <v>0.79300000000000004</v>
      </c>
      <c r="E362">
        <v>1</v>
      </c>
      <c r="F362">
        <v>0.26100000000000001</v>
      </c>
    </row>
    <row r="363" spans="1:6">
      <c r="A363">
        <v>1993</v>
      </c>
      <c r="B363">
        <v>1.2E-2</v>
      </c>
      <c r="C363">
        <v>0.54</v>
      </c>
      <c r="D363">
        <v>0.79300000000000004</v>
      </c>
      <c r="E363">
        <v>1</v>
      </c>
      <c r="F363">
        <v>0.26100000000000001</v>
      </c>
    </row>
    <row r="364" spans="1:6">
      <c r="A364">
        <v>1994</v>
      </c>
      <c r="B364">
        <v>1.2E-2</v>
      </c>
      <c r="C364">
        <v>0.54</v>
      </c>
      <c r="D364">
        <v>0.79300000000000004</v>
      </c>
      <c r="E364">
        <v>1</v>
      </c>
      <c r="F364">
        <v>0.26100000000000001</v>
      </c>
    </row>
    <row r="365" spans="1:6">
      <c r="A365">
        <v>1995</v>
      </c>
      <c r="B365">
        <v>1.2E-2</v>
      </c>
      <c r="C365">
        <v>0.54</v>
      </c>
      <c r="D365">
        <v>0.79300000000000004</v>
      </c>
      <c r="E365">
        <v>1</v>
      </c>
      <c r="F365">
        <v>0.26100000000000001</v>
      </c>
    </row>
    <row r="366" spans="1:6">
      <c r="A366">
        <v>1996</v>
      </c>
      <c r="B366">
        <v>1.2E-2</v>
      </c>
      <c r="C366">
        <v>0.54</v>
      </c>
      <c r="D366">
        <v>0.79300000000000004</v>
      </c>
      <c r="E366">
        <v>1</v>
      </c>
      <c r="F366">
        <v>0.26100000000000001</v>
      </c>
    </row>
    <row r="367" spans="1:6">
      <c r="A367">
        <v>1997</v>
      </c>
      <c r="B367">
        <v>1.2E-2</v>
      </c>
      <c r="C367">
        <v>0.54</v>
      </c>
      <c r="D367">
        <v>0.79300000000000004</v>
      </c>
      <c r="E367">
        <v>1</v>
      </c>
      <c r="F367">
        <v>0.26100000000000001</v>
      </c>
    </row>
    <row r="368" spans="1:6">
      <c r="A368">
        <v>1998</v>
      </c>
      <c r="B368">
        <v>1.2E-2</v>
      </c>
      <c r="C368">
        <v>0.54</v>
      </c>
      <c r="D368">
        <v>0.79300000000000004</v>
      </c>
      <c r="E368">
        <v>1</v>
      </c>
      <c r="F368">
        <v>0.26100000000000001</v>
      </c>
    </row>
    <row r="369" spans="1:6">
      <c r="A369">
        <v>1999</v>
      </c>
      <c r="B369">
        <v>1.2E-2</v>
      </c>
      <c r="C369">
        <v>0.54</v>
      </c>
      <c r="D369">
        <v>0.79300000000000004</v>
      </c>
      <c r="E369">
        <v>1</v>
      </c>
      <c r="F369">
        <v>0.26100000000000001</v>
      </c>
    </row>
    <row r="370" spans="1:6">
      <c r="A370">
        <v>2000</v>
      </c>
      <c r="B370">
        <v>1.2E-2</v>
      </c>
      <c r="C370">
        <v>0.54</v>
      </c>
      <c r="D370">
        <v>0.79300000000000004</v>
      </c>
      <c r="E370">
        <v>1</v>
      </c>
      <c r="F370">
        <v>0.26100000000000001</v>
      </c>
    </row>
    <row r="371" spans="1:6">
      <c r="A371">
        <v>2001</v>
      </c>
      <c r="B371">
        <v>1.2E-2</v>
      </c>
      <c r="C371">
        <v>0.54</v>
      </c>
      <c r="D371">
        <v>0.79300000000000004</v>
      </c>
      <c r="E371">
        <v>1</v>
      </c>
      <c r="F371">
        <v>0.26100000000000001</v>
      </c>
    </row>
    <row r="372" spans="1:6">
      <c r="A372">
        <v>2002</v>
      </c>
      <c r="B372">
        <v>1.2E-2</v>
      </c>
      <c r="C372">
        <v>0.54</v>
      </c>
      <c r="D372">
        <v>0.79300000000000004</v>
      </c>
      <c r="E372">
        <v>1</v>
      </c>
      <c r="F372">
        <v>0.26100000000000001</v>
      </c>
    </row>
    <row r="373" spans="1:6">
      <c r="A373">
        <v>2003</v>
      </c>
      <c r="B373">
        <v>1.2E-2</v>
      </c>
      <c r="C373">
        <v>0.54</v>
      </c>
      <c r="D373">
        <v>0.79300000000000004</v>
      </c>
      <c r="E373">
        <v>1</v>
      </c>
      <c r="F373">
        <v>0.26100000000000001</v>
      </c>
    </row>
    <row r="374" spans="1:6">
      <c r="A374">
        <v>2004</v>
      </c>
      <c r="B374">
        <v>1.2E-2</v>
      </c>
      <c r="C374">
        <v>0.54</v>
      </c>
      <c r="D374">
        <v>0.79300000000000004</v>
      </c>
      <c r="E374">
        <v>1</v>
      </c>
      <c r="F374">
        <v>0.26100000000000001</v>
      </c>
    </row>
    <row r="375" spans="1:6">
      <c r="A375">
        <v>2005</v>
      </c>
      <c r="B375">
        <v>1.2E-2</v>
      </c>
      <c r="C375">
        <v>0.54</v>
      </c>
      <c r="D375">
        <v>0.79300000000000004</v>
      </c>
      <c r="E375">
        <v>1</v>
      </c>
      <c r="F375">
        <v>0.26100000000000001</v>
      </c>
    </row>
    <row r="399" spans="1:3">
      <c r="A399" t="str">
        <f>'Titles and Variables'!C24</f>
        <v>EUR-FAD-PS</v>
      </c>
      <c r="B399" t="s">
        <v>61</v>
      </c>
    </row>
    <row r="400" spans="1:3">
      <c r="A400" t="s">
        <v>70</v>
      </c>
      <c r="B400" t="s">
        <v>71</v>
      </c>
      <c r="C400" t="s">
        <v>72</v>
      </c>
    </row>
    <row r="401" spans="1:3">
      <c r="A401" t="s">
        <v>68</v>
      </c>
      <c r="B401">
        <v>0</v>
      </c>
      <c r="C401">
        <v>1</v>
      </c>
    </row>
    <row r="402" spans="1:3">
      <c r="A402" t="s">
        <v>69</v>
      </c>
      <c r="B402" t="s">
        <v>73</v>
      </c>
      <c r="C402" t="s">
        <v>73</v>
      </c>
    </row>
    <row r="403" spans="1:3">
      <c r="A403">
        <v>1991</v>
      </c>
      <c r="B403">
        <v>0.75800000000000001</v>
      </c>
      <c r="C403">
        <v>1</v>
      </c>
    </row>
    <row r="404" spans="1:3">
      <c r="A404">
        <v>1992</v>
      </c>
      <c r="B404">
        <v>0.75800000000000001</v>
      </c>
      <c r="C404">
        <v>1</v>
      </c>
    </row>
    <row r="405" spans="1:3">
      <c r="A405">
        <v>1993</v>
      </c>
      <c r="B405">
        <v>0.75800000000000001</v>
      </c>
      <c r="C405">
        <v>1</v>
      </c>
    </row>
    <row r="406" spans="1:3">
      <c r="A406">
        <v>1994</v>
      </c>
      <c r="B406">
        <v>0.75800000000000001</v>
      </c>
      <c r="C406">
        <v>1</v>
      </c>
    </row>
    <row r="407" spans="1:3">
      <c r="A407">
        <v>1995</v>
      </c>
      <c r="B407">
        <v>0.75800000000000001</v>
      </c>
      <c r="C407">
        <v>1</v>
      </c>
    </row>
    <row r="408" spans="1:3">
      <c r="A408">
        <v>1996</v>
      </c>
      <c r="B408">
        <v>0.75800000000000001</v>
      </c>
      <c r="C408">
        <v>1</v>
      </c>
    </row>
    <row r="409" spans="1:3">
      <c r="A409">
        <v>1997</v>
      </c>
      <c r="B409">
        <v>0.75800000000000001</v>
      </c>
      <c r="C409">
        <v>1</v>
      </c>
    </row>
    <row r="410" spans="1:3">
      <c r="A410">
        <v>1998</v>
      </c>
      <c r="B410">
        <v>0.75800000000000001</v>
      </c>
      <c r="C410">
        <v>1</v>
      </c>
    </row>
    <row r="411" spans="1:3">
      <c r="A411">
        <v>1999</v>
      </c>
      <c r="B411">
        <v>0.75800000000000001</v>
      </c>
      <c r="C411">
        <v>1</v>
      </c>
    </row>
    <row r="412" spans="1:3">
      <c r="A412">
        <v>2000</v>
      </c>
      <c r="B412">
        <v>0.75800000000000001</v>
      </c>
      <c r="C412">
        <v>1</v>
      </c>
    </row>
    <row r="413" spans="1:3">
      <c r="A413">
        <v>2001</v>
      </c>
      <c r="B413">
        <v>0.75800000000000001</v>
      </c>
      <c r="C413">
        <v>1</v>
      </c>
    </row>
    <row r="414" spans="1:3">
      <c r="A414">
        <v>2002</v>
      </c>
      <c r="B414">
        <v>0.75800000000000001</v>
      </c>
      <c r="C414">
        <v>1</v>
      </c>
    </row>
    <row r="415" spans="1:3">
      <c r="A415">
        <v>2003</v>
      </c>
      <c r="B415">
        <v>0.75800000000000001</v>
      </c>
      <c r="C415">
        <v>1</v>
      </c>
    </row>
    <row r="416" spans="1:3">
      <c r="A416">
        <v>2004</v>
      </c>
      <c r="B416">
        <v>0.75800000000000001</v>
      </c>
      <c r="C416">
        <v>1</v>
      </c>
    </row>
    <row r="417" spans="1:3">
      <c r="A417">
        <v>2005</v>
      </c>
      <c r="B417">
        <v>0.75800000000000001</v>
      </c>
      <c r="C417">
        <v>1</v>
      </c>
    </row>
    <row r="418" spans="1:3">
      <c r="A418">
        <v>2006</v>
      </c>
      <c r="B418">
        <v>0.75800000000000001</v>
      </c>
      <c r="C418">
        <v>1</v>
      </c>
    </row>
    <row r="449" spans="1:7">
      <c r="A449" t="str">
        <f>'Titles and Variables'!C25</f>
        <v>EUR-PS 3%</v>
      </c>
      <c r="B449" t="s">
        <v>61</v>
      </c>
    </row>
    <row r="450" spans="1:7">
      <c r="A450" t="s">
        <v>70</v>
      </c>
      <c r="B450" t="s">
        <v>71</v>
      </c>
      <c r="C450" t="s">
        <v>72</v>
      </c>
    </row>
    <row r="451" spans="1:7">
      <c r="A451" t="s">
        <v>68</v>
      </c>
      <c r="B451">
        <v>0</v>
      </c>
      <c r="C451">
        <v>1</v>
      </c>
      <c r="D451">
        <v>2</v>
      </c>
      <c r="E451">
        <v>3</v>
      </c>
      <c r="F451">
        <v>4</v>
      </c>
      <c r="G451">
        <v>5</v>
      </c>
    </row>
    <row r="452" spans="1:7">
      <c r="A452" t="s">
        <v>69</v>
      </c>
      <c r="B452" t="s">
        <v>73</v>
      </c>
      <c r="C452" t="s">
        <v>73</v>
      </c>
      <c r="D452" t="s">
        <v>73</v>
      </c>
      <c r="E452" t="s">
        <v>73</v>
      </c>
      <c r="F452" t="s">
        <v>73</v>
      </c>
      <c r="G452" t="s">
        <v>73</v>
      </c>
    </row>
    <row r="453" spans="1:7">
      <c r="A453">
        <v>1970</v>
      </c>
      <c r="B453">
        <v>2.4E-2</v>
      </c>
      <c r="C453">
        <v>0.16800000000000001</v>
      </c>
      <c r="D453">
        <v>0.28399999999999997</v>
      </c>
      <c r="E453">
        <v>0.47699999999999998</v>
      </c>
      <c r="F453">
        <v>1</v>
      </c>
      <c r="G453">
        <v>0.51800000000000002</v>
      </c>
    </row>
    <row r="454" spans="1:7">
      <c r="A454">
        <v>1971</v>
      </c>
      <c r="B454">
        <v>2.4E-2</v>
      </c>
      <c r="C454">
        <v>0.16800000000000001</v>
      </c>
      <c r="D454">
        <v>0.28399999999999997</v>
      </c>
      <c r="E454">
        <v>0.47699999999999998</v>
      </c>
      <c r="F454">
        <v>1</v>
      </c>
      <c r="G454">
        <v>0.51800000000000002</v>
      </c>
    </row>
    <row r="455" spans="1:7">
      <c r="A455">
        <v>1972</v>
      </c>
      <c r="B455">
        <v>2.4E-2</v>
      </c>
      <c r="C455">
        <v>0.16800000000000001</v>
      </c>
      <c r="D455">
        <v>0.28399999999999997</v>
      </c>
      <c r="E455">
        <v>0.47699999999999998</v>
      </c>
      <c r="F455">
        <v>1</v>
      </c>
      <c r="G455">
        <v>0.51800000000000002</v>
      </c>
    </row>
    <row r="456" spans="1:7">
      <c r="A456">
        <v>1973</v>
      </c>
      <c r="B456">
        <v>2.4E-2</v>
      </c>
      <c r="C456">
        <v>0.16800000000000001</v>
      </c>
      <c r="D456">
        <v>0.28399999999999997</v>
      </c>
      <c r="E456">
        <v>0.47699999999999998</v>
      </c>
      <c r="F456">
        <v>1</v>
      </c>
      <c r="G456">
        <v>0.51800000000000002</v>
      </c>
    </row>
    <row r="457" spans="1:7">
      <c r="A457">
        <v>1974</v>
      </c>
      <c r="B457">
        <v>2.4E-2</v>
      </c>
      <c r="C457">
        <v>0.16800000000000001</v>
      </c>
      <c r="D457">
        <v>0.28399999999999997</v>
      </c>
      <c r="E457">
        <v>0.47699999999999998</v>
      </c>
      <c r="F457">
        <v>1</v>
      </c>
      <c r="G457">
        <v>0.51800000000000002</v>
      </c>
    </row>
    <row r="458" spans="1:7">
      <c r="A458">
        <v>1975</v>
      </c>
      <c r="B458">
        <v>2.4E-2</v>
      </c>
      <c r="C458">
        <v>0.16800000000000001</v>
      </c>
      <c r="D458">
        <v>0.28399999999999997</v>
      </c>
      <c r="E458">
        <v>0.47699999999999998</v>
      </c>
      <c r="F458">
        <v>1</v>
      </c>
      <c r="G458">
        <v>0.51800000000000002</v>
      </c>
    </row>
    <row r="459" spans="1:7">
      <c r="A459">
        <v>1976</v>
      </c>
      <c r="B459">
        <v>2.4E-2</v>
      </c>
      <c r="C459">
        <v>0.16800000000000001</v>
      </c>
      <c r="D459">
        <v>0.28399999999999997</v>
      </c>
      <c r="E459">
        <v>0.47699999999999998</v>
      </c>
      <c r="F459">
        <v>1</v>
      </c>
      <c r="G459">
        <v>0.51800000000000002</v>
      </c>
    </row>
    <row r="460" spans="1:7">
      <c r="A460">
        <v>1977</v>
      </c>
      <c r="B460">
        <v>2.4E-2</v>
      </c>
      <c r="C460">
        <v>0.16800000000000001</v>
      </c>
      <c r="D460">
        <v>0.28399999999999997</v>
      </c>
      <c r="E460">
        <v>0.47699999999999998</v>
      </c>
      <c r="F460">
        <v>1</v>
      </c>
      <c r="G460">
        <v>0.51800000000000002</v>
      </c>
    </row>
    <row r="461" spans="1:7">
      <c r="A461">
        <v>1978</v>
      </c>
      <c r="B461">
        <v>2.4E-2</v>
      </c>
      <c r="C461">
        <v>0.16800000000000001</v>
      </c>
      <c r="D461">
        <v>0.28399999999999997</v>
      </c>
      <c r="E461">
        <v>0.47699999999999998</v>
      </c>
      <c r="F461">
        <v>1</v>
      </c>
      <c r="G461">
        <v>0.51800000000000002</v>
      </c>
    </row>
    <row r="462" spans="1:7">
      <c r="A462">
        <v>1979</v>
      </c>
      <c r="B462">
        <v>2.4E-2</v>
      </c>
      <c r="C462">
        <v>0.16800000000000001</v>
      </c>
      <c r="D462">
        <v>0.28399999999999997</v>
      </c>
      <c r="E462">
        <v>0.47699999999999998</v>
      </c>
      <c r="F462">
        <v>1</v>
      </c>
      <c r="G462">
        <v>0.51800000000000002</v>
      </c>
    </row>
    <row r="499" spans="1:6">
      <c r="A499" t="str">
        <f>'Titles and Variables'!C26</f>
        <v>EU-DAKAR</v>
      </c>
      <c r="B499" t="s">
        <v>61</v>
      </c>
    </row>
    <row r="500" spans="1:6">
      <c r="A500" t="s">
        <v>70</v>
      </c>
      <c r="B500" t="s">
        <v>71</v>
      </c>
      <c r="C500" t="s">
        <v>72</v>
      </c>
    </row>
    <row r="501" spans="1:6">
      <c r="A501" t="s">
        <v>68</v>
      </c>
      <c r="B501">
        <v>0</v>
      </c>
      <c r="C501">
        <v>1</v>
      </c>
      <c r="D501">
        <v>2</v>
      </c>
      <c r="E501">
        <v>3</v>
      </c>
      <c r="F501">
        <v>4</v>
      </c>
    </row>
    <row r="502" spans="1:6">
      <c r="A502" t="s">
        <v>69</v>
      </c>
      <c r="B502" t="s">
        <v>73</v>
      </c>
      <c r="C502" t="s">
        <v>73</v>
      </c>
      <c r="D502" t="s">
        <v>73</v>
      </c>
      <c r="E502" t="s">
        <v>73</v>
      </c>
      <c r="F502" t="s">
        <v>73</v>
      </c>
    </row>
    <row r="503" spans="1:6">
      <c r="A503">
        <v>1970</v>
      </c>
      <c r="B503">
        <v>5.7000000000000002E-2</v>
      </c>
      <c r="C503">
        <v>1</v>
      </c>
      <c r="D503">
        <v>0.72</v>
      </c>
      <c r="E503">
        <v>0.23699999999999999</v>
      </c>
      <c r="F503">
        <v>8.1000000000000003E-2</v>
      </c>
    </row>
    <row r="504" spans="1:6">
      <c r="A504">
        <v>1971</v>
      </c>
      <c r="B504">
        <v>5.7000000000000002E-2</v>
      </c>
      <c r="C504">
        <v>1</v>
      </c>
      <c r="D504">
        <v>0.72</v>
      </c>
      <c r="E504">
        <v>0.23699999999999999</v>
      </c>
      <c r="F504">
        <v>8.1000000000000003E-2</v>
      </c>
    </row>
    <row r="505" spans="1:6">
      <c r="A505">
        <v>1972</v>
      </c>
      <c r="B505">
        <v>5.7000000000000002E-2</v>
      </c>
      <c r="C505">
        <v>1</v>
      </c>
      <c r="D505">
        <v>0.72</v>
      </c>
      <c r="E505">
        <v>0.23699999999999999</v>
      </c>
      <c r="F505">
        <v>8.1000000000000003E-2</v>
      </c>
    </row>
    <row r="506" spans="1:6">
      <c r="A506">
        <v>1973</v>
      </c>
      <c r="B506">
        <v>5.7000000000000002E-2</v>
      </c>
      <c r="C506">
        <v>1</v>
      </c>
      <c r="D506">
        <v>0.72</v>
      </c>
      <c r="E506">
        <v>0.23699999999999999</v>
      </c>
      <c r="F506">
        <v>8.1000000000000003E-2</v>
      </c>
    </row>
    <row r="507" spans="1:6">
      <c r="A507">
        <v>1974</v>
      </c>
      <c r="B507">
        <v>5.7000000000000002E-2</v>
      </c>
      <c r="C507">
        <v>1</v>
      </c>
      <c r="D507">
        <v>0.72</v>
      </c>
      <c r="E507">
        <v>0.23699999999999999</v>
      </c>
      <c r="F507">
        <v>8.1000000000000003E-2</v>
      </c>
    </row>
    <row r="508" spans="1:6">
      <c r="A508">
        <v>1975</v>
      </c>
      <c r="B508">
        <v>5.7000000000000002E-2</v>
      </c>
      <c r="C508">
        <v>1</v>
      </c>
      <c r="D508">
        <v>0.72</v>
      </c>
      <c r="E508">
        <v>0.23699999999999999</v>
      </c>
      <c r="F508">
        <v>8.1000000000000003E-2</v>
      </c>
    </row>
    <row r="509" spans="1:6">
      <c r="A509">
        <v>1976</v>
      </c>
      <c r="B509">
        <v>5.7000000000000002E-2</v>
      </c>
      <c r="C509">
        <v>1</v>
      </c>
      <c r="D509">
        <v>0.72</v>
      </c>
      <c r="E509">
        <v>0.23699999999999999</v>
      </c>
      <c r="F509">
        <v>8.1000000000000003E-2</v>
      </c>
    </row>
    <row r="510" spans="1:6">
      <c r="A510">
        <v>1977</v>
      </c>
      <c r="B510">
        <v>5.7000000000000002E-2</v>
      </c>
      <c r="C510">
        <v>1</v>
      </c>
      <c r="D510">
        <v>0.72</v>
      </c>
      <c r="E510">
        <v>0.23699999999999999</v>
      </c>
      <c r="F510">
        <v>8.1000000000000003E-2</v>
      </c>
    </row>
    <row r="511" spans="1:6">
      <c r="A511">
        <v>1978</v>
      </c>
      <c r="B511">
        <v>5.7000000000000002E-2</v>
      </c>
      <c r="C511">
        <v>1</v>
      </c>
      <c r="D511">
        <v>0.72</v>
      </c>
      <c r="E511">
        <v>0.23699999999999999</v>
      </c>
      <c r="F511">
        <v>8.1000000000000003E-2</v>
      </c>
    </row>
    <row r="512" spans="1:6">
      <c r="A512">
        <v>1979</v>
      </c>
      <c r="B512">
        <v>5.7000000000000002E-2</v>
      </c>
      <c r="C512">
        <v>1</v>
      </c>
      <c r="D512">
        <v>0.72</v>
      </c>
      <c r="E512">
        <v>0.23699999999999999</v>
      </c>
      <c r="F512">
        <v>8.1000000000000003E-2</v>
      </c>
    </row>
    <row r="513" spans="1:6">
      <c r="A513">
        <v>1981</v>
      </c>
      <c r="B513">
        <v>5.7000000000000002E-2</v>
      </c>
      <c r="C513">
        <v>1</v>
      </c>
      <c r="D513">
        <v>0.72</v>
      </c>
      <c r="E513">
        <v>0.23699999999999999</v>
      </c>
      <c r="F513">
        <v>8.1000000000000003E-2</v>
      </c>
    </row>
    <row r="514" spans="1:6">
      <c r="A514">
        <v>1982</v>
      </c>
      <c r="B514">
        <v>5.7000000000000002E-2</v>
      </c>
      <c r="C514">
        <v>1</v>
      </c>
      <c r="D514">
        <v>0.72</v>
      </c>
      <c r="E514">
        <v>0.23699999999999999</v>
      </c>
      <c r="F514">
        <v>8.1000000000000003E-2</v>
      </c>
    </row>
    <row r="515" spans="1:6">
      <c r="A515">
        <v>1983</v>
      </c>
      <c r="B515">
        <v>5.7000000000000002E-2</v>
      </c>
      <c r="C515">
        <v>1</v>
      </c>
      <c r="D515">
        <v>0.72</v>
      </c>
      <c r="E515">
        <v>0.23699999999999999</v>
      </c>
      <c r="F515">
        <v>8.1000000000000003E-2</v>
      </c>
    </row>
    <row r="516" spans="1:6">
      <c r="A516">
        <v>1984</v>
      </c>
      <c r="B516">
        <v>5.7000000000000002E-2</v>
      </c>
      <c r="C516">
        <v>1</v>
      </c>
      <c r="D516">
        <v>0.72</v>
      </c>
      <c r="E516">
        <v>0.23699999999999999</v>
      </c>
      <c r="F516">
        <v>8.1000000000000003E-2</v>
      </c>
    </row>
    <row r="517" spans="1:6">
      <c r="A517">
        <v>1985</v>
      </c>
      <c r="B517">
        <v>5.7000000000000002E-2</v>
      </c>
      <c r="C517">
        <v>1</v>
      </c>
      <c r="D517">
        <v>0.72</v>
      </c>
      <c r="E517">
        <v>0.23699999999999999</v>
      </c>
      <c r="F517">
        <v>8.1000000000000003E-2</v>
      </c>
    </row>
    <row r="518" spans="1:6">
      <c r="A518">
        <v>1986</v>
      </c>
      <c r="B518">
        <v>5.7000000000000002E-2</v>
      </c>
      <c r="C518">
        <v>1</v>
      </c>
      <c r="D518">
        <v>0.72</v>
      </c>
      <c r="E518">
        <v>0.23699999999999999</v>
      </c>
      <c r="F518">
        <v>8.1000000000000003E-2</v>
      </c>
    </row>
    <row r="519" spans="1:6">
      <c r="A519">
        <v>1987</v>
      </c>
      <c r="B519">
        <v>5.7000000000000002E-2</v>
      </c>
      <c r="C519">
        <v>1</v>
      </c>
      <c r="D519">
        <v>0.72</v>
      </c>
      <c r="E519">
        <v>0.23699999999999999</v>
      </c>
      <c r="F519">
        <v>8.1000000000000003E-2</v>
      </c>
    </row>
    <row r="520" spans="1:6">
      <c r="A520">
        <v>1988</v>
      </c>
      <c r="B520">
        <v>5.7000000000000002E-2</v>
      </c>
      <c r="C520">
        <v>1</v>
      </c>
      <c r="D520">
        <v>0.72</v>
      </c>
      <c r="E520">
        <v>0.23699999999999999</v>
      </c>
      <c r="F520">
        <v>8.1000000000000003E-2</v>
      </c>
    </row>
    <row r="521" spans="1:6">
      <c r="A521">
        <v>1989</v>
      </c>
      <c r="B521">
        <v>5.7000000000000002E-2</v>
      </c>
      <c r="C521">
        <v>1</v>
      </c>
      <c r="D521">
        <v>0.72</v>
      </c>
      <c r="E521">
        <v>0.23699999999999999</v>
      </c>
      <c r="F521">
        <v>8.1000000000000003E-2</v>
      </c>
    </row>
    <row r="522" spans="1:6">
      <c r="A522">
        <v>1990</v>
      </c>
      <c r="B522">
        <v>5.7000000000000002E-2</v>
      </c>
      <c r="C522">
        <v>1</v>
      </c>
      <c r="D522">
        <v>0.72</v>
      </c>
      <c r="E522">
        <v>0.23699999999999999</v>
      </c>
      <c r="F522">
        <v>8.1000000000000003E-2</v>
      </c>
    </row>
    <row r="523" spans="1:6">
      <c r="A523">
        <v>1991</v>
      </c>
      <c r="B523">
        <v>5.7000000000000002E-2</v>
      </c>
      <c r="C523">
        <v>1</v>
      </c>
      <c r="D523">
        <v>0.72</v>
      </c>
      <c r="E523">
        <v>0.23699999999999999</v>
      </c>
      <c r="F523">
        <v>8.1000000000000003E-2</v>
      </c>
    </row>
    <row r="524" spans="1:6">
      <c r="A524">
        <v>1992</v>
      </c>
      <c r="B524">
        <v>5.7000000000000002E-2</v>
      </c>
      <c r="C524">
        <v>1</v>
      </c>
      <c r="D524">
        <v>0.72</v>
      </c>
      <c r="E524">
        <v>0.23699999999999999</v>
      </c>
      <c r="F524">
        <v>8.1000000000000003E-2</v>
      </c>
    </row>
    <row r="525" spans="1:6">
      <c r="A525">
        <v>1993</v>
      </c>
      <c r="B525">
        <v>5.7000000000000002E-2</v>
      </c>
      <c r="C525">
        <v>1</v>
      </c>
      <c r="D525">
        <v>0.72</v>
      </c>
      <c r="E525">
        <v>0.23699999999999999</v>
      </c>
      <c r="F525">
        <v>8.1000000000000003E-2</v>
      </c>
    </row>
    <row r="526" spans="1:6">
      <c r="A526">
        <v>1994</v>
      </c>
      <c r="B526">
        <v>5.7000000000000002E-2</v>
      </c>
      <c r="C526">
        <v>1</v>
      </c>
      <c r="D526">
        <v>0.72</v>
      </c>
      <c r="E526">
        <v>0.23699999999999999</v>
      </c>
      <c r="F526">
        <v>8.1000000000000003E-2</v>
      </c>
    </row>
    <row r="527" spans="1:6">
      <c r="A527">
        <v>1995</v>
      </c>
      <c r="B527">
        <v>5.7000000000000002E-2</v>
      </c>
      <c r="C527">
        <v>1</v>
      </c>
      <c r="D527">
        <v>0.72</v>
      </c>
      <c r="E527">
        <v>0.23699999999999999</v>
      </c>
      <c r="F527">
        <v>8.1000000000000003E-2</v>
      </c>
    </row>
    <row r="528" spans="1:6">
      <c r="A528">
        <v>1996</v>
      </c>
      <c r="B528">
        <v>5.7000000000000002E-2</v>
      </c>
      <c r="C528">
        <v>1</v>
      </c>
      <c r="D528">
        <v>0.72</v>
      </c>
      <c r="E528">
        <v>0.23699999999999999</v>
      </c>
      <c r="F528">
        <v>8.1000000000000003E-2</v>
      </c>
    </row>
    <row r="529" spans="1:6">
      <c r="A529">
        <v>1997</v>
      </c>
      <c r="B529">
        <v>5.7000000000000002E-2</v>
      </c>
      <c r="C529">
        <v>1</v>
      </c>
      <c r="D529">
        <v>0.72</v>
      </c>
      <c r="E529">
        <v>0.23699999999999999</v>
      </c>
      <c r="F529">
        <v>8.1000000000000003E-2</v>
      </c>
    </row>
    <row r="530" spans="1:6">
      <c r="A530">
        <v>1998</v>
      </c>
      <c r="B530">
        <v>5.7000000000000002E-2</v>
      </c>
      <c r="C530">
        <v>1</v>
      </c>
      <c r="D530">
        <v>0.72</v>
      </c>
      <c r="E530">
        <v>0.23699999999999999</v>
      </c>
      <c r="F530">
        <v>8.1000000000000003E-2</v>
      </c>
    </row>
    <row r="531" spans="1:6">
      <c r="A531">
        <v>1999</v>
      </c>
      <c r="B531">
        <v>5.7000000000000002E-2</v>
      </c>
      <c r="C531">
        <v>1</v>
      </c>
      <c r="D531">
        <v>0.72</v>
      </c>
      <c r="E531">
        <v>0.23699999999999999</v>
      </c>
      <c r="F531">
        <v>8.1000000000000003E-2</v>
      </c>
    </row>
    <row r="532" spans="1:6">
      <c r="A532">
        <v>2000</v>
      </c>
      <c r="B532">
        <v>5.7000000000000002E-2</v>
      </c>
      <c r="C532">
        <v>1</v>
      </c>
      <c r="D532">
        <v>0.72</v>
      </c>
      <c r="E532">
        <v>0.23699999999999999</v>
      </c>
      <c r="F532">
        <v>8.1000000000000003E-2</v>
      </c>
    </row>
    <row r="533" spans="1:6">
      <c r="A533">
        <v>2001</v>
      </c>
      <c r="B533">
        <v>5.7000000000000002E-2</v>
      </c>
      <c r="C533">
        <v>1</v>
      </c>
      <c r="D533">
        <v>0.72</v>
      </c>
      <c r="E533">
        <v>0.23699999999999999</v>
      </c>
      <c r="F533">
        <v>8.1000000000000003E-2</v>
      </c>
    </row>
    <row r="534" spans="1:6">
      <c r="A534">
        <v>2002</v>
      </c>
      <c r="B534">
        <v>5.7000000000000002E-2</v>
      </c>
      <c r="C534">
        <v>1</v>
      </c>
      <c r="D534">
        <v>0.72</v>
      </c>
      <c r="E534">
        <v>0.23699999999999999</v>
      </c>
      <c r="F534">
        <v>8.1000000000000003E-2</v>
      </c>
    </row>
    <row r="535" spans="1:6">
      <c r="A535">
        <v>2003</v>
      </c>
      <c r="B535">
        <v>5.7000000000000002E-2</v>
      </c>
      <c r="C535">
        <v>1</v>
      </c>
      <c r="D535">
        <v>0.72</v>
      </c>
      <c r="E535">
        <v>0.23699999999999999</v>
      </c>
      <c r="F535">
        <v>8.1000000000000003E-2</v>
      </c>
    </row>
    <row r="536" spans="1:6">
      <c r="A536">
        <v>2004</v>
      </c>
      <c r="B536">
        <v>5.7000000000000002E-2</v>
      </c>
      <c r="C536">
        <v>1</v>
      </c>
      <c r="D536">
        <v>0.72</v>
      </c>
      <c r="E536">
        <v>0.23699999999999999</v>
      </c>
      <c r="F536">
        <v>8.1000000000000003E-2</v>
      </c>
    </row>
    <row r="537" spans="1:6">
      <c r="A537">
        <v>2005</v>
      </c>
      <c r="B537">
        <v>5.7000000000000002E-2</v>
      </c>
      <c r="C537">
        <v>1</v>
      </c>
      <c r="D537">
        <v>0.72</v>
      </c>
      <c r="E537">
        <v>0.23699999999999999</v>
      </c>
      <c r="F537">
        <v>8.1000000000000003E-2</v>
      </c>
    </row>
    <row r="538" spans="1:6">
      <c r="A538">
        <v>2006</v>
      </c>
      <c r="B538">
        <v>5.7000000000000002E-2</v>
      </c>
      <c r="C538">
        <v>1</v>
      </c>
      <c r="D538">
        <v>0.72</v>
      </c>
      <c r="E538">
        <v>0.23699999999999999</v>
      </c>
      <c r="F538">
        <v>8.1000000000000003E-2</v>
      </c>
    </row>
    <row r="549" spans="1:7">
      <c r="A549" t="str">
        <f>'Titles and Variables'!C27</f>
        <v>URU-LL</v>
      </c>
      <c r="B549" t="s">
        <v>61</v>
      </c>
    </row>
    <row r="550" spans="1:7">
      <c r="A550" t="s">
        <v>70</v>
      </c>
      <c r="B550" t="s">
        <v>71</v>
      </c>
      <c r="C550" t="s">
        <v>72</v>
      </c>
    </row>
    <row r="551" spans="1:7">
      <c r="A551" t="s">
        <v>68</v>
      </c>
      <c r="B551">
        <v>0</v>
      </c>
      <c r="C551">
        <v>1</v>
      </c>
      <c r="D551">
        <v>2</v>
      </c>
      <c r="E551">
        <v>3</v>
      </c>
      <c r="F551">
        <v>4</v>
      </c>
      <c r="G551">
        <v>5</v>
      </c>
    </row>
    <row r="552" spans="1:7">
      <c r="A552" t="s">
        <v>69</v>
      </c>
      <c r="B552" t="s">
        <v>73</v>
      </c>
      <c r="C552" t="s">
        <v>73</v>
      </c>
      <c r="D552" t="s">
        <v>73</v>
      </c>
      <c r="E552" t="s">
        <v>73</v>
      </c>
      <c r="F552" t="s">
        <v>73</v>
      </c>
      <c r="G552" t="s">
        <v>73</v>
      </c>
    </row>
    <row r="553" spans="1:7">
      <c r="A553">
        <v>1981</v>
      </c>
      <c r="B553">
        <v>0</v>
      </c>
      <c r="C553">
        <v>3.1E-2</v>
      </c>
      <c r="D553">
        <v>0.52500000000000002</v>
      </c>
      <c r="E553">
        <v>1</v>
      </c>
      <c r="F553">
        <v>0.72399999999999998</v>
      </c>
      <c r="G553">
        <v>0.215</v>
      </c>
    </row>
    <row r="554" spans="1:7">
      <c r="A554">
        <v>1982</v>
      </c>
      <c r="B554">
        <v>0</v>
      </c>
      <c r="C554">
        <v>3.1E-2</v>
      </c>
      <c r="D554">
        <v>0.52500000000000002</v>
      </c>
      <c r="E554">
        <v>1</v>
      </c>
      <c r="F554">
        <v>0.72399999999999998</v>
      </c>
      <c r="G554">
        <v>0.215</v>
      </c>
    </row>
    <row r="555" spans="1:7">
      <c r="A555">
        <v>1983</v>
      </c>
      <c r="B555">
        <v>0</v>
      </c>
      <c r="C555">
        <v>3.1E-2</v>
      </c>
      <c r="D555">
        <v>0.52500000000000002</v>
      </c>
      <c r="E555">
        <v>1</v>
      </c>
      <c r="F555">
        <v>0.72399999999999998</v>
      </c>
      <c r="G555">
        <v>0.215</v>
      </c>
    </row>
    <row r="556" spans="1:7">
      <c r="A556">
        <v>1984</v>
      </c>
      <c r="B556">
        <v>0</v>
      </c>
      <c r="C556">
        <v>3.1E-2</v>
      </c>
      <c r="D556">
        <v>0.52500000000000002</v>
      </c>
      <c r="E556">
        <v>1</v>
      </c>
      <c r="F556">
        <v>0.72399999999999998</v>
      </c>
      <c r="G556">
        <v>0.215</v>
      </c>
    </row>
    <row r="557" spans="1:7">
      <c r="A557">
        <v>1985</v>
      </c>
      <c r="B557">
        <v>0</v>
      </c>
      <c r="C557">
        <v>3.1E-2</v>
      </c>
      <c r="D557">
        <v>0.52500000000000002</v>
      </c>
      <c r="E557">
        <v>1</v>
      </c>
      <c r="F557">
        <v>0.72399999999999998</v>
      </c>
      <c r="G557">
        <v>0.215</v>
      </c>
    </row>
    <row r="558" spans="1:7">
      <c r="A558">
        <v>1986</v>
      </c>
      <c r="B558">
        <v>0</v>
      </c>
      <c r="C558">
        <v>3.1E-2</v>
      </c>
      <c r="D558">
        <v>0.52500000000000002</v>
      </c>
      <c r="E558">
        <v>1</v>
      </c>
      <c r="F558">
        <v>0.72399999999999998</v>
      </c>
      <c r="G558">
        <v>0.215</v>
      </c>
    </row>
    <row r="559" spans="1:7">
      <c r="A559">
        <v>1987</v>
      </c>
      <c r="B559">
        <v>0</v>
      </c>
      <c r="C559">
        <v>3.1E-2</v>
      </c>
      <c r="D559">
        <v>0.52500000000000002</v>
      </c>
      <c r="E559">
        <v>1</v>
      </c>
      <c r="F559">
        <v>0.72399999999999998</v>
      </c>
      <c r="G559">
        <v>0.215</v>
      </c>
    </row>
    <row r="560" spans="1:7">
      <c r="A560">
        <v>1988</v>
      </c>
      <c r="B560">
        <v>0</v>
      </c>
      <c r="C560">
        <v>3.1E-2</v>
      </c>
      <c r="D560">
        <v>0.52500000000000002</v>
      </c>
      <c r="E560">
        <v>1</v>
      </c>
      <c r="F560">
        <v>0.72399999999999998</v>
      </c>
      <c r="G560">
        <v>0.215</v>
      </c>
    </row>
    <row r="561" spans="1:7">
      <c r="A561">
        <v>1989</v>
      </c>
      <c r="B561">
        <v>0</v>
      </c>
      <c r="C561">
        <v>3.1E-2</v>
      </c>
      <c r="D561">
        <v>0.52500000000000002</v>
      </c>
      <c r="E561">
        <v>1</v>
      </c>
      <c r="F561">
        <v>0.72399999999999998</v>
      </c>
      <c r="G561">
        <v>0.215</v>
      </c>
    </row>
    <row r="562" spans="1:7">
      <c r="A562">
        <v>1990</v>
      </c>
      <c r="B562">
        <v>0</v>
      </c>
      <c r="C562">
        <v>3.1E-2</v>
      </c>
      <c r="D562">
        <v>0.52500000000000002</v>
      </c>
      <c r="E562">
        <v>1</v>
      </c>
      <c r="F562">
        <v>0.72399999999999998</v>
      </c>
      <c r="G562">
        <v>0.215</v>
      </c>
    </row>
    <row r="563" spans="1:7">
      <c r="A563">
        <v>1991</v>
      </c>
      <c r="B563">
        <v>0</v>
      </c>
      <c r="C563">
        <v>3.1E-2</v>
      </c>
      <c r="D563">
        <v>0.52500000000000002</v>
      </c>
      <c r="E563">
        <v>1</v>
      </c>
      <c r="F563">
        <v>0.72399999999999998</v>
      </c>
      <c r="G563">
        <v>0.215</v>
      </c>
    </row>
    <row r="564" spans="1:7">
      <c r="A564">
        <v>1992</v>
      </c>
      <c r="B564">
        <v>0</v>
      </c>
      <c r="C564">
        <v>3.1E-2</v>
      </c>
      <c r="D564">
        <v>0.52500000000000002</v>
      </c>
      <c r="E564">
        <v>1</v>
      </c>
      <c r="F564">
        <v>0.72399999999999998</v>
      </c>
      <c r="G564">
        <v>0.215</v>
      </c>
    </row>
    <row r="565" spans="1:7">
      <c r="A565">
        <v>1993</v>
      </c>
      <c r="B565">
        <v>0</v>
      </c>
      <c r="C565">
        <v>3.1E-2</v>
      </c>
      <c r="D565">
        <v>0.52500000000000002</v>
      </c>
      <c r="E565">
        <v>1</v>
      </c>
      <c r="F565">
        <v>0.72399999999999998</v>
      </c>
      <c r="G565">
        <v>0.215</v>
      </c>
    </row>
    <row r="566" spans="1:7">
      <c r="A566">
        <v>1994</v>
      </c>
      <c r="B566">
        <v>0</v>
      </c>
      <c r="C566">
        <v>3.1E-2</v>
      </c>
      <c r="D566">
        <v>0.52500000000000002</v>
      </c>
      <c r="E566">
        <v>1</v>
      </c>
      <c r="F566">
        <v>0.72399999999999998</v>
      </c>
      <c r="G566">
        <v>0.215</v>
      </c>
    </row>
    <row r="567" spans="1:7">
      <c r="A567">
        <v>1995</v>
      </c>
      <c r="B567">
        <v>0</v>
      </c>
      <c r="C567">
        <v>3.1E-2</v>
      </c>
      <c r="D567">
        <v>0.52500000000000002</v>
      </c>
      <c r="E567">
        <v>1</v>
      </c>
      <c r="F567">
        <v>0.72399999999999998</v>
      </c>
      <c r="G567">
        <v>0.215</v>
      </c>
    </row>
    <row r="568" spans="1:7">
      <c r="A568">
        <v>1996</v>
      </c>
      <c r="B568">
        <v>0</v>
      </c>
      <c r="C568">
        <v>3.1E-2</v>
      </c>
      <c r="D568">
        <v>0.52500000000000002</v>
      </c>
      <c r="E568">
        <v>1</v>
      </c>
      <c r="F568">
        <v>0.72399999999999998</v>
      </c>
      <c r="G568">
        <v>0.215</v>
      </c>
    </row>
    <row r="569" spans="1:7">
      <c r="A569">
        <v>1997</v>
      </c>
      <c r="B569">
        <v>0</v>
      </c>
      <c r="C569">
        <v>3.1E-2</v>
      </c>
      <c r="D569">
        <v>0.52500000000000002</v>
      </c>
      <c r="E569">
        <v>1</v>
      </c>
      <c r="F569">
        <v>0.72399999999999998</v>
      </c>
      <c r="G569">
        <v>0.215</v>
      </c>
    </row>
    <row r="570" spans="1:7">
      <c r="A570">
        <v>1998</v>
      </c>
      <c r="B570">
        <v>0</v>
      </c>
      <c r="C570">
        <v>3.1E-2</v>
      </c>
      <c r="D570">
        <v>0.52500000000000002</v>
      </c>
      <c r="E570">
        <v>1</v>
      </c>
      <c r="F570">
        <v>0.72399999999999998</v>
      </c>
      <c r="G570">
        <v>0.215</v>
      </c>
    </row>
    <row r="571" spans="1:7">
      <c r="A571">
        <v>1999</v>
      </c>
      <c r="B571">
        <v>0</v>
      </c>
      <c r="C571">
        <v>3.1E-2</v>
      </c>
      <c r="D571">
        <v>0.52500000000000002</v>
      </c>
      <c r="E571">
        <v>1</v>
      </c>
      <c r="F571">
        <v>0.72399999999999998</v>
      </c>
      <c r="G571">
        <v>0.215</v>
      </c>
    </row>
    <row r="572" spans="1:7">
      <c r="A572">
        <v>2000</v>
      </c>
      <c r="B572">
        <v>0</v>
      </c>
      <c r="C572">
        <v>3.1E-2</v>
      </c>
      <c r="D572">
        <v>0.52500000000000002</v>
      </c>
      <c r="E572">
        <v>1</v>
      </c>
      <c r="F572">
        <v>0.72399999999999998</v>
      </c>
      <c r="G572">
        <v>0.215</v>
      </c>
    </row>
    <row r="573" spans="1:7">
      <c r="A573">
        <v>2001</v>
      </c>
      <c r="B573">
        <v>0</v>
      </c>
      <c r="C573">
        <v>3.1E-2</v>
      </c>
      <c r="D573">
        <v>0.52500000000000002</v>
      </c>
      <c r="E573">
        <v>1</v>
      </c>
      <c r="F573">
        <v>0.72399999999999998</v>
      </c>
      <c r="G573">
        <v>0.215</v>
      </c>
    </row>
    <row r="574" spans="1:7">
      <c r="A574">
        <v>2002</v>
      </c>
      <c r="B574">
        <v>0</v>
      </c>
      <c r="C574">
        <v>3.1E-2</v>
      </c>
      <c r="D574">
        <v>0.52500000000000002</v>
      </c>
      <c r="E574">
        <v>1</v>
      </c>
      <c r="F574">
        <v>0.72399999999999998</v>
      </c>
      <c r="G574">
        <v>0.215</v>
      </c>
    </row>
    <row r="575" spans="1:7">
      <c r="A575">
        <v>2003</v>
      </c>
      <c r="B575">
        <v>0</v>
      </c>
      <c r="C575">
        <v>3.1E-2</v>
      </c>
      <c r="D575">
        <v>0.52500000000000002</v>
      </c>
      <c r="E575">
        <v>1</v>
      </c>
      <c r="F575">
        <v>0.72399999999999998</v>
      </c>
      <c r="G575">
        <v>0.215</v>
      </c>
    </row>
    <row r="576" spans="1:7">
      <c r="A576">
        <v>2004</v>
      </c>
      <c r="B576">
        <v>0</v>
      </c>
      <c r="C576">
        <v>3.1E-2</v>
      </c>
      <c r="D576">
        <v>0.52500000000000002</v>
      </c>
      <c r="E576">
        <v>1</v>
      </c>
      <c r="F576">
        <v>0.72399999999999998</v>
      </c>
      <c r="G576">
        <v>0.215</v>
      </c>
    </row>
    <row r="577" spans="1:7">
      <c r="A577">
        <v>2005</v>
      </c>
      <c r="B577">
        <v>0</v>
      </c>
      <c r="C577">
        <v>3.1E-2</v>
      </c>
      <c r="D577">
        <v>0.52500000000000002</v>
      </c>
      <c r="E577">
        <v>1</v>
      </c>
      <c r="F577">
        <v>0.72399999999999998</v>
      </c>
      <c r="G577">
        <v>0.215</v>
      </c>
    </row>
    <row r="578" spans="1:7">
      <c r="A578">
        <v>2006</v>
      </c>
      <c r="B578">
        <v>0</v>
      </c>
      <c r="C578">
        <v>3.1E-2</v>
      </c>
      <c r="D578">
        <v>0.52500000000000002</v>
      </c>
      <c r="E578">
        <v>1</v>
      </c>
      <c r="F578">
        <v>0.72399999999999998</v>
      </c>
      <c r="G578">
        <v>0.215</v>
      </c>
    </row>
    <row r="599" spans="1:7">
      <c r="A599" t="str">
        <f>'Titles and Variables'!C28</f>
        <v>BRA-URU-LL</v>
      </c>
      <c r="B599" t="s">
        <v>61</v>
      </c>
    </row>
    <row r="600" spans="1:7">
      <c r="A600" t="s">
        <v>70</v>
      </c>
      <c r="B600" t="s">
        <v>71</v>
      </c>
      <c r="C600" t="s">
        <v>72</v>
      </c>
    </row>
    <row r="601" spans="1:7">
      <c r="A601" t="s">
        <v>68</v>
      </c>
      <c r="B601">
        <v>0</v>
      </c>
      <c r="C601">
        <v>1</v>
      </c>
      <c r="D601">
        <v>2</v>
      </c>
      <c r="E601">
        <v>3</v>
      </c>
      <c r="F601">
        <v>4</v>
      </c>
      <c r="G601">
        <v>5</v>
      </c>
    </row>
    <row r="602" spans="1:7">
      <c r="A602" t="s">
        <v>69</v>
      </c>
      <c r="B602" t="s">
        <v>73</v>
      </c>
      <c r="C602" t="s">
        <v>73</v>
      </c>
      <c r="D602" t="s">
        <v>73</v>
      </c>
      <c r="E602" t="s">
        <v>73</v>
      </c>
      <c r="F602" t="s">
        <v>73</v>
      </c>
      <c r="G602" t="s">
        <v>73</v>
      </c>
    </row>
    <row r="603" spans="1:7">
      <c r="A603">
        <v>1970</v>
      </c>
      <c r="B603">
        <v>0</v>
      </c>
      <c r="C603">
        <v>8.9999999999999993E-3</v>
      </c>
      <c r="D603">
        <v>0.20399999999999999</v>
      </c>
      <c r="E603">
        <v>0.84799999999999998</v>
      </c>
      <c r="F603">
        <v>1</v>
      </c>
      <c r="G603">
        <v>0.436</v>
      </c>
    </row>
    <row r="604" spans="1:7">
      <c r="A604">
        <v>1971</v>
      </c>
      <c r="B604">
        <v>0</v>
      </c>
      <c r="C604">
        <v>8.9999999999999993E-3</v>
      </c>
      <c r="D604">
        <v>0.20399999999999999</v>
      </c>
      <c r="E604">
        <v>0.84799999999999998</v>
      </c>
      <c r="F604">
        <v>1</v>
      </c>
      <c r="G604">
        <v>0.436</v>
      </c>
    </row>
    <row r="605" spans="1:7">
      <c r="A605">
        <v>1972</v>
      </c>
      <c r="B605">
        <v>0</v>
      </c>
      <c r="C605">
        <v>8.9999999999999993E-3</v>
      </c>
      <c r="D605">
        <v>0.20399999999999999</v>
      </c>
      <c r="E605">
        <v>0.84799999999999998</v>
      </c>
      <c r="F605">
        <v>1</v>
      </c>
      <c r="G605">
        <v>0.436</v>
      </c>
    </row>
    <row r="606" spans="1:7">
      <c r="A606">
        <v>1973</v>
      </c>
      <c r="B606">
        <v>0</v>
      </c>
      <c r="C606">
        <v>8.9999999999999993E-3</v>
      </c>
      <c r="D606">
        <v>0.20399999999999999</v>
      </c>
      <c r="E606">
        <v>0.84799999999999998</v>
      </c>
      <c r="F606">
        <v>1</v>
      </c>
      <c r="G606">
        <v>0.436</v>
      </c>
    </row>
    <row r="607" spans="1:7">
      <c r="A607">
        <v>1974</v>
      </c>
      <c r="B607">
        <v>0</v>
      </c>
      <c r="C607">
        <v>8.9999999999999993E-3</v>
      </c>
      <c r="D607">
        <v>0.20399999999999999</v>
      </c>
      <c r="E607">
        <v>0.84799999999999998</v>
      </c>
      <c r="F607">
        <v>1</v>
      </c>
      <c r="G607">
        <v>0.436</v>
      </c>
    </row>
    <row r="608" spans="1:7">
      <c r="A608">
        <v>1975</v>
      </c>
      <c r="B608">
        <v>0</v>
      </c>
      <c r="C608">
        <v>8.9999999999999993E-3</v>
      </c>
      <c r="D608">
        <v>0.20399999999999999</v>
      </c>
      <c r="E608">
        <v>0.84799999999999998</v>
      </c>
      <c r="F608">
        <v>1</v>
      </c>
      <c r="G608">
        <v>0.436</v>
      </c>
    </row>
    <row r="609" spans="1:7">
      <c r="A609">
        <v>1976</v>
      </c>
      <c r="B609">
        <v>0</v>
      </c>
      <c r="C609">
        <v>8.9999999999999993E-3</v>
      </c>
      <c r="D609">
        <v>0.20399999999999999</v>
      </c>
      <c r="E609">
        <v>0.84799999999999998</v>
      </c>
      <c r="F609">
        <v>1</v>
      </c>
      <c r="G609">
        <v>0.436</v>
      </c>
    </row>
    <row r="610" spans="1:7">
      <c r="A610">
        <v>1977</v>
      </c>
      <c r="B610">
        <v>0</v>
      </c>
      <c r="C610">
        <v>8.9999999999999993E-3</v>
      </c>
      <c r="D610">
        <v>0.20399999999999999</v>
      </c>
      <c r="E610">
        <v>0.84799999999999998</v>
      </c>
      <c r="F610">
        <v>1</v>
      </c>
      <c r="G610">
        <v>0.436</v>
      </c>
    </row>
    <row r="611" spans="1:7">
      <c r="A611">
        <v>1978</v>
      </c>
      <c r="B611">
        <v>0</v>
      </c>
      <c r="C611">
        <v>8.9999999999999993E-3</v>
      </c>
      <c r="D611">
        <v>0.20399999999999999</v>
      </c>
      <c r="E611">
        <v>0.84799999999999998</v>
      </c>
      <c r="F611">
        <v>1</v>
      </c>
      <c r="G611">
        <v>0.436</v>
      </c>
    </row>
    <row r="612" spans="1:7">
      <c r="A612">
        <v>1979</v>
      </c>
      <c r="B612">
        <v>0</v>
      </c>
      <c r="C612">
        <v>8.9999999999999993E-3</v>
      </c>
      <c r="D612">
        <v>0.20399999999999999</v>
      </c>
      <c r="E612">
        <v>0.84799999999999998</v>
      </c>
      <c r="F612">
        <v>1</v>
      </c>
      <c r="G612">
        <v>0.436</v>
      </c>
    </row>
    <row r="613" spans="1:7">
      <c r="A613">
        <v>1980</v>
      </c>
      <c r="B613">
        <v>0</v>
      </c>
      <c r="C613">
        <v>8.9999999999999993E-3</v>
      </c>
      <c r="D613">
        <v>0.20399999999999999</v>
      </c>
      <c r="E613">
        <v>0.84799999999999998</v>
      </c>
      <c r="F613">
        <v>1</v>
      </c>
      <c r="G613">
        <v>0.436</v>
      </c>
    </row>
    <row r="614" spans="1:7">
      <c r="A614">
        <v>1981</v>
      </c>
      <c r="B614">
        <v>0</v>
      </c>
      <c r="C614">
        <v>8.9999999999999993E-3</v>
      </c>
      <c r="D614">
        <v>0.20399999999999999</v>
      </c>
      <c r="E614">
        <v>0.84799999999999998</v>
      </c>
      <c r="F614">
        <v>1</v>
      </c>
      <c r="G614">
        <v>0.436</v>
      </c>
    </row>
    <row r="615" spans="1:7">
      <c r="A615">
        <v>1982</v>
      </c>
      <c r="B615">
        <v>0</v>
      </c>
      <c r="C615">
        <v>8.9999999999999993E-3</v>
      </c>
      <c r="D615">
        <v>0.20399999999999999</v>
      </c>
      <c r="E615">
        <v>0.84799999999999998</v>
      </c>
      <c r="F615">
        <v>1</v>
      </c>
      <c r="G615">
        <v>0.436</v>
      </c>
    </row>
    <row r="616" spans="1:7">
      <c r="A616">
        <v>1983</v>
      </c>
      <c r="B616">
        <v>0</v>
      </c>
      <c r="C616">
        <v>8.9999999999999993E-3</v>
      </c>
      <c r="D616">
        <v>0.20399999999999999</v>
      </c>
      <c r="E616">
        <v>0.84799999999999998</v>
      </c>
      <c r="F616">
        <v>1</v>
      </c>
      <c r="G616">
        <v>0.436</v>
      </c>
    </row>
    <row r="617" spans="1:7">
      <c r="A617">
        <v>1984</v>
      </c>
      <c r="B617">
        <v>0</v>
      </c>
      <c r="C617">
        <v>8.9999999999999993E-3</v>
      </c>
      <c r="D617">
        <v>0.20399999999999999</v>
      </c>
      <c r="E617">
        <v>0.84799999999999998</v>
      </c>
      <c r="F617">
        <v>1</v>
      </c>
      <c r="G617">
        <v>0.436</v>
      </c>
    </row>
    <row r="618" spans="1:7">
      <c r="A618">
        <v>1985</v>
      </c>
      <c r="B618">
        <v>0</v>
      </c>
      <c r="C618">
        <v>8.9999999999999993E-3</v>
      </c>
      <c r="D618">
        <v>0.20399999999999999</v>
      </c>
      <c r="E618">
        <v>0.84799999999999998</v>
      </c>
      <c r="F618">
        <v>1</v>
      </c>
      <c r="G618">
        <v>0.436</v>
      </c>
    </row>
    <row r="619" spans="1:7">
      <c r="A619">
        <v>1986</v>
      </c>
      <c r="B619">
        <v>0</v>
      </c>
      <c r="C619">
        <v>8.9999999999999993E-3</v>
      </c>
      <c r="D619">
        <v>0.20399999999999999</v>
      </c>
      <c r="E619">
        <v>0.84799999999999998</v>
      </c>
      <c r="F619">
        <v>1</v>
      </c>
      <c r="G619">
        <v>0.436</v>
      </c>
    </row>
    <row r="620" spans="1:7">
      <c r="A620">
        <v>1987</v>
      </c>
      <c r="B620">
        <v>0</v>
      </c>
      <c r="C620">
        <v>8.9999999999999993E-3</v>
      </c>
      <c r="D620">
        <v>0.20399999999999999</v>
      </c>
      <c r="E620">
        <v>0.84799999999999998</v>
      </c>
      <c r="F620">
        <v>1</v>
      </c>
      <c r="G620">
        <v>0.436</v>
      </c>
    </row>
    <row r="621" spans="1:7">
      <c r="A621">
        <v>1988</v>
      </c>
      <c r="B621">
        <v>0</v>
      </c>
      <c r="C621">
        <v>8.9999999999999993E-3</v>
      </c>
      <c r="D621">
        <v>0.20399999999999999</v>
      </c>
      <c r="E621">
        <v>0.84799999999999998</v>
      </c>
      <c r="F621">
        <v>1</v>
      </c>
      <c r="G621">
        <v>0.436</v>
      </c>
    </row>
    <row r="622" spans="1:7">
      <c r="A622">
        <v>1989</v>
      </c>
      <c r="B622">
        <v>0</v>
      </c>
      <c r="C622">
        <v>8.9999999999999993E-3</v>
      </c>
      <c r="D622">
        <v>0.20399999999999999</v>
      </c>
      <c r="E622">
        <v>0.84799999999999998</v>
      </c>
      <c r="F622">
        <v>1</v>
      </c>
      <c r="G622">
        <v>0.436</v>
      </c>
    </row>
    <row r="623" spans="1:7">
      <c r="A623">
        <v>1990</v>
      </c>
      <c r="B623">
        <v>0</v>
      </c>
      <c r="C623">
        <v>8.9999999999999993E-3</v>
      </c>
      <c r="D623">
        <v>0.20399999999999999</v>
      </c>
      <c r="E623">
        <v>0.84799999999999998</v>
      </c>
      <c r="F623">
        <v>1</v>
      </c>
      <c r="G623">
        <v>0.436</v>
      </c>
    </row>
    <row r="624" spans="1:7">
      <c r="A624">
        <v>1991</v>
      </c>
      <c r="B624">
        <v>0</v>
      </c>
      <c r="C624">
        <v>8.9999999999999993E-3</v>
      </c>
      <c r="D624">
        <v>0.20399999999999999</v>
      </c>
      <c r="E624">
        <v>0.84799999999999998</v>
      </c>
      <c r="F624">
        <v>1</v>
      </c>
      <c r="G624">
        <v>0.436</v>
      </c>
    </row>
    <row r="625" spans="1:7">
      <c r="A625">
        <v>1992</v>
      </c>
      <c r="B625">
        <v>0</v>
      </c>
      <c r="C625">
        <v>8.9999999999999993E-3</v>
      </c>
      <c r="D625">
        <v>0.20399999999999999</v>
      </c>
      <c r="E625">
        <v>0.84799999999999998</v>
      </c>
      <c r="F625">
        <v>1</v>
      </c>
      <c r="G625">
        <v>0.436</v>
      </c>
    </row>
    <row r="626" spans="1:7">
      <c r="A626">
        <v>1993</v>
      </c>
      <c r="B626">
        <v>0</v>
      </c>
      <c r="C626">
        <v>8.9999999999999993E-3</v>
      </c>
      <c r="D626">
        <v>0.20399999999999999</v>
      </c>
      <c r="E626">
        <v>0.84799999999999998</v>
      </c>
      <c r="F626">
        <v>1</v>
      </c>
      <c r="G626">
        <v>0.436</v>
      </c>
    </row>
    <row r="627" spans="1:7">
      <c r="A627">
        <v>1994</v>
      </c>
      <c r="B627">
        <v>0</v>
      </c>
      <c r="C627">
        <v>8.9999999999999993E-3</v>
      </c>
      <c r="D627">
        <v>0.20399999999999999</v>
      </c>
      <c r="E627">
        <v>0.84799999999999998</v>
      </c>
      <c r="F627">
        <v>1</v>
      </c>
      <c r="G627">
        <v>0.436</v>
      </c>
    </row>
    <row r="628" spans="1:7">
      <c r="A628">
        <v>1995</v>
      </c>
      <c r="B628">
        <v>0</v>
      </c>
      <c r="C628">
        <v>8.9999999999999993E-3</v>
      </c>
      <c r="D628">
        <v>0.20399999999999999</v>
      </c>
      <c r="E628">
        <v>0.84799999999999998</v>
      </c>
      <c r="F628">
        <v>1</v>
      </c>
      <c r="G628">
        <v>0.436</v>
      </c>
    </row>
    <row r="629" spans="1:7">
      <c r="A629">
        <v>1996</v>
      </c>
      <c r="B629">
        <v>0</v>
      </c>
      <c r="C629">
        <v>8.9999999999999993E-3</v>
      </c>
      <c r="D629">
        <v>0.20399999999999999</v>
      </c>
      <c r="E629">
        <v>0.84799999999999998</v>
      </c>
      <c r="F629">
        <v>1</v>
      </c>
      <c r="G629">
        <v>0.436</v>
      </c>
    </row>
    <row r="630" spans="1:7">
      <c r="A630">
        <v>1997</v>
      </c>
      <c r="B630">
        <v>0</v>
      </c>
      <c r="C630">
        <v>8.9999999999999993E-3</v>
      </c>
      <c r="D630">
        <v>0.20399999999999999</v>
      </c>
      <c r="E630">
        <v>0.84799999999999998</v>
      </c>
      <c r="F630">
        <v>1</v>
      </c>
      <c r="G630">
        <v>0.436</v>
      </c>
    </row>
    <row r="631" spans="1:7">
      <c r="A631">
        <v>1998</v>
      </c>
      <c r="B631">
        <v>0</v>
      </c>
      <c r="C631">
        <v>8.9999999999999993E-3</v>
      </c>
      <c r="D631">
        <v>0.20399999999999999</v>
      </c>
      <c r="E631">
        <v>0.84799999999999998</v>
      </c>
      <c r="F631">
        <v>1</v>
      </c>
      <c r="G631">
        <v>0.436</v>
      </c>
    </row>
    <row r="632" spans="1:7">
      <c r="A632">
        <v>1999</v>
      </c>
      <c r="B632">
        <v>0</v>
      </c>
      <c r="C632">
        <v>8.9999999999999993E-3</v>
      </c>
      <c r="D632">
        <v>0.20399999999999999</v>
      </c>
      <c r="E632">
        <v>0.84799999999999998</v>
      </c>
      <c r="F632">
        <v>1</v>
      </c>
      <c r="G632">
        <v>0.436</v>
      </c>
    </row>
    <row r="633" spans="1:7">
      <c r="A633">
        <v>2000</v>
      </c>
      <c r="B633">
        <v>0</v>
      </c>
      <c r="C633">
        <v>8.9999999999999993E-3</v>
      </c>
      <c r="D633">
        <v>0.20399999999999999</v>
      </c>
      <c r="E633">
        <v>0.84799999999999998</v>
      </c>
      <c r="F633">
        <v>1</v>
      </c>
      <c r="G633">
        <v>0.436</v>
      </c>
    </row>
    <row r="634" spans="1:7">
      <c r="A634">
        <v>2001</v>
      </c>
      <c r="B634">
        <v>0</v>
      </c>
      <c r="C634">
        <v>8.9999999999999993E-3</v>
      </c>
      <c r="D634">
        <v>0.20399999999999999</v>
      </c>
      <c r="E634">
        <v>0.84799999999999998</v>
      </c>
      <c r="F634">
        <v>1</v>
      </c>
      <c r="G634">
        <v>0.436</v>
      </c>
    </row>
    <row r="635" spans="1:7">
      <c r="A635">
        <v>2002</v>
      </c>
      <c r="B635">
        <v>0</v>
      </c>
      <c r="C635">
        <v>8.9999999999999993E-3</v>
      </c>
      <c r="D635">
        <v>0.20399999999999999</v>
      </c>
      <c r="E635">
        <v>0.84799999999999998</v>
      </c>
      <c r="F635">
        <v>1</v>
      </c>
      <c r="G635">
        <v>0.436</v>
      </c>
    </row>
    <row r="636" spans="1:7">
      <c r="A636">
        <v>2003</v>
      </c>
      <c r="B636">
        <v>0</v>
      </c>
      <c r="C636">
        <v>8.9999999999999993E-3</v>
      </c>
      <c r="D636">
        <v>0.20399999999999999</v>
      </c>
      <c r="E636">
        <v>0.84799999999999998</v>
      </c>
      <c r="F636">
        <v>1</v>
      </c>
      <c r="G636">
        <v>0.436</v>
      </c>
    </row>
    <row r="637" spans="1:7">
      <c r="A637">
        <v>2004</v>
      </c>
      <c r="B637">
        <v>0</v>
      </c>
      <c r="C637">
        <v>8.9999999999999993E-3</v>
      </c>
      <c r="D637">
        <v>0.20399999999999999</v>
      </c>
      <c r="E637">
        <v>0.84799999999999998</v>
      </c>
      <c r="F637">
        <v>1</v>
      </c>
      <c r="G637">
        <v>0.436</v>
      </c>
    </row>
    <row r="638" spans="1:7">
      <c r="A638">
        <v>2005</v>
      </c>
      <c r="B638">
        <v>0</v>
      </c>
      <c r="C638">
        <v>8.9999999999999993E-3</v>
      </c>
      <c r="D638">
        <v>0.20399999999999999</v>
      </c>
      <c r="E638">
        <v>0.84799999999999998</v>
      </c>
      <c r="F638">
        <v>1</v>
      </c>
      <c r="G638">
        <v>0.436</v>
      </c>
    </row>
    <row r="639" spans="1:7">
      <c r="A639">
        <v>2006</v>
      </c>
      <c r="B639">
        <v>0</v>
      </c>
      <c r="C639">
        <v>8.9999999999999993E-3</v>
      </c>
      <c r="D639">
        <v>0.20399999999999999</v>
      </c>
      <c r="E639">
        <v>0.84799999999999998</v>
      </c>
      <c r="F639">
        <v>1</v>
      </c>
      <c r="G639">
        <v>0.436</v>
      </c>
    </row>
    <row r="649" spans="1:7">
      <c r="A649" t="str">
        <f>'Titles and Variables'!C29</f>
        <v>CHIN-TAI-LL</v>
      </c>
      <c r="B649" t="s">
        <v>61</v>
      </c>
    </row>
    <row r="650" spans="1:7">
      <c r="A650" t="s">
        <v>70</v>
      </c>
      <c r="B650" t="s">
        <v>71</v>
      </c>
      <c r="C650" t="s">
        <v>72</v>
      </c>
    </row>
    <row r="651" spans="1:7">
      <c r="A651" t="s">
        <v>68</v>
      </c>
      <c r="B651">
        <v>0</v>
      </c>
      <c r="C651">
        <v>1</v>
      </c>
      <c r="D651">
        <v>2</v>
      </c>
      <c r="E651">
        <v>3</v>
      </c>
      <c r="F651">
        <v>4</v>
      </c>
      <c r="G651">
        <v>5</v>
      </c>
    </row>
    <row r="652" spans="1:7">
      <c r="A652" t="s">
        <v>69</v>
      </c>
      <c r="B652" t="s">
        <v>73</v>
      </c>
      <c r="C652" t="s">
        <v>73</v>
      </c>
      <c r="D652" t="s">
        <v>73</v>
      </c>
      <c r="E652" t="s">
        <v>73</v>
      </c>
      <c r="F652" t="s">
        <v>73</v>
      </c>
      <c r="G652" t="s">
        <v>73</v>
      </c>
    </row>
    <row r="653" spans="1:7">
      <c r="A653">
        <v>1970</v>
      </c>
      <c r="B653">
        <v>0</v>
      </c>
      <c r="C653">
        <v>8.9999999999999993E-3</v>
      </c>
      <c r="D653">
        <v>0.20399999999999999</v>
      </c>
      <c r="E653">
        <v>0.84799999999999998</v>
      </c>
      <c r="F653">
        <v>1</v>
      </c>
      <c r="G653">
        <v>0.436</v>
      </c>
    </row>
    <row r="654" spans="1:7">
      <c r="A654">
        <v>1971</v>
      </c>
      <c r="B654">
        <v>0</v>
      </c>
      <c r="C654">
        <v>8.9999999999999993E-3</v>
      </c>
      <c r="D654">
        <v>0.20399999999999999</v>
      </c>
      <c r="E654">
        <v>0.84799999999999998</v>
      </c>
      <c r="F654">
        <v>1</v>
      </c>
      <c r="G654">
        <v>0.436</v>
      </c>
    </row>
    <row r="655" spans="1:7">
      <c r="A655">
        <v>1972</v>
      </c>
      <c r="B655">
        <v>0</v>
      </c>
      <c r="C655">
        <v>8.9999999999999993E-3</v>
      </c>
      <c r="D655">
        <v>0.20399999999999999</v>
      </c>
      <c r="E655">
        <v>0.84799999999999998</v>
      </c>
      <c r="F655">
        <v>1</v>
      </c>
      <c r="G655">
        <v>0.436</v>
      </c>
    </row>
    <row r="656" spans="1:7">
      <c r="A656">
        <v>1973</v>
      </c>
      <c r="B656">
        <v>0</v>
      </c>
      <c r="C656">
        <v>8.9999999999999993E-3</v>
      </c>
      <c r="D656">
        <v>0.20399999999999999</v>
      </c>
      <c r="E656">
        <v>0.84799999999999998</v>
      </c>
      <c r="F656">
        <v>1</v>
      </c>
      <c r="G656">
        <v>0.436</v>
      </c>
    </row>
    <row r="657" spans="1:7">
      <c r="A657">
        <v>1974</v>
      </c>
      <c r="B657">
        <v>0</v>
      </c>
      <c r="C657">
        <v>8.9999999999999993E-3</v>
      </c>
      <c r="D657">
        <v>0.20399999999999999</v>
      </c>
      <c r="E657">
        <v>0.84799999999999998</v>
      </c>
      <c r="F657">
        <v>1</v>
      </c>
      <c r="G657">
        <v>0.436</v>
      </c>
    </row>
    <row r="658" spans="1:7">
      <c r="A658">
        <v>1975</v>
      </c>
      <c r="B658">
        <v>0</v>
      </c>
      <c r="C658">
        <v>8.9999999999999993E-3</v>
      </c>
      <c r="D658">
        <v>0.20399999999999999</v>
      </c>
      <c r="E658">
        <v>0.84799999999999998</v>
      </c>
      <c r="F658">
        <v>1</v>
      </c>
      <c r="G658">
        <v>0.436</v>
      </c>
    </row>
    <row r="659" spans="1:7">
      <c r="A659">
        <v>1976</v>
      </c>
      <c r="B659">
        <v>0</v>
      </c>
      <c r="C659">
        <v>8.9999999999999993E-3</v>
      </c>
      <c r="D659">
        <v>0.20399999999999999</v>
      </c>
      <c r="E659">
        <v>0.84799999999999998</v>
      </c>
      <c r="F659">
        <v>1</v>
      </c>
      <c r="G659">
        <v>0.436</v>
      </c>
    </row>
    <row r="660" spans="1:7">
      <c r="A660">
        <v>1977</v>
      </c>
      <c r="B660">
        <v>0</v>
      </c>
      <c r="C660">
        <v>8.9999999999999993E-3</v>
      </c>
      <c r="D660">
        <v>0.20399999999999999</v>
      </c>
      <c r="E660">
        <v>0.84799999999999998</v>
      </c>
      <c r="F660">
        <v>1</v>
      </c>
      <c r="G660">
        <v>0.436</v>
      </c>
    </row>
    <row r="661" spans="1:7">
      <c r="A661">
        <v>1978</v>
      </c>
      <c r="B661">
        <v>0</v>
      </c>
      <c r="C661">
        <v>8.9999999999999993E-3</v>
      </c>
      <c r="D661">
        <v>0.20399999999999999</v>
      </c>
      <c r="E661">
        <v>0.84799999999999998</v>
      </c>
      <c r="F661">
        <v>1</v>
      </c>
      <c r="G661">
        <v>0.436</v>
      </c>
    </row>
    <row r="662" spans="1:7">
      <c r="A662">
        <v>1979</v>
      </c>
      <c r="B662">
        <v>0</v>
      </c>
      <c r="C662">
        <v>8.9999999999999993E-3</v>
      </c>
      <c r="D662">
        <v>0.20399999999999999</v>
      </c>
      <c r="E662">
        <v>0.84799999999999998</v>
      </c>
      <c r="F662">
        <v>1</v>
      </c>
      <c r="G662">
        <v>0.436</v>
      </c>
    </row>
    <row r="663" spans="1:7">
      <c r="A663">
        <v>1980</v>
      </c>
      <c r="B663">
        <v>0</v>
      </c>
      <c r="C663">
        <v>8.9999999999999993E-3</v>
      </c>
      <c r="D663">
        <v>0.20399999999999999</v>
      </c>
      <c r="E663">
        <v>0.84799999999999998</v>
      </c>
      <c r="F663">
        <v>1</v>
      </c>
      <c r="G663">
        <v>0.436</v>
      </c>
    </row>
    <row r="664" spans="1:7">
      <c r="A664">
        <v>1981</v>
      </c>
      <c r="B664">
        <v>0</v>
      </c>
      <c r="C664">
        <v>8.9999999999999993E-3</v>
      </c>
      <c r="D664">
        <v>0.20399999999999999</v>
      </c>
      <c r="E664">
        <v>0.84799999999999998</v>
      </c>
      <c r="F664">
        <v>1</v>
      </c>
      <c r="G664">
        <v>0.436</v>
      </c>
    </row>
    <row r="665" spans="1:7">
      <c r="A665">
        <v>1982</v>
      </c>
      <c r="B665">
        <v>0</v>
      </c>
      <c r="C665">
        <v>8.9999999999999993E-3</v>
      </c>
      <c r="D665">
        <v>0.20399999999999999</v>
      </c>
      <c r="E665">
        <v>0.84799999999999998</v>
      </c>
      <c r="F665">
        <v>1</v>
      </c>
      <c r="G665">
        <v>0.436</v>
      </c>
    </row>
    <row r="666" spans="1:7">
      <c r="A666">
        <v>1983</v>
      </c>
      <c r="B666">
        <v>0</v>
      </c>
      <c r="C666">
        <v>8.9999999999999993E-3</v>
      </c>
      <c r="D666">
        <v>0.20399999999999999</v>
      </c>
      <c r="E666">
        <v>0.84799999999999998</v>
      </c>
      <c r="F666">
        <v>1</v>
      </c>
      <c r="G666">
        <v>0.436</v>
      </c>
    </row>
    <row r="667" spans="1:7">
      <c r="A667">
        <v>1984</v>
      </c>
      <c r="B667">
        <v>0</v>
      </c>
      <c r="C667">
        <v>8.9999999999999993E-3</v>
      </c>
      <c r="D667">
        <v>0.20399999999999999</v>
      </c>
      <c r="E667">
        <v>0.84799999999999998</v>
      </c>
      <c r="F667">
        <v>1</v>
      </c>
      <c r="G667">
        <v>0.436</v>
      </c>
    </row>
    <row r="668" spans="1:7">
      <c r="A668">
        <v>1985</v>
      </c>
      <c r="B668">
        <v>0</v>
      </c>
      <c r="C668">
        <v>8.9999999999999993E-3</v>
      </c>
      <c r="D668">
        <v>0.20399999999999999</v>
      </c>
      <c r="E668">
        <v>0.84799999999999998</v>
      </c>
      <c r="F668">
        <v>1</v>
      </c>
      <c r="G668">
        <v>0.436</v>
      </c>
    </row>
    <row r="669" spans="1:7">
      <c r="A669">
        <v>1986</v>
      </c>
      <c r="B669">
        <v>0</v>
      </c>
      <c r="C669">
        <v>8.9999999999999993E-3</v>
      </c>
      <c r="D669">
        <v>0.20399999999999999</v>
      </c>
      <c r="E669">
        <v>0.84799999999999998</v>
      </c>
      <c r="F669">
        <v>1</v>
      </c>
      <c r="G669">
        <v>0.436</v>
      </c>
    </row>
    <row r="670" spans="1:7">
      <c r="A670">
        <v>1987</v>
      </c>
      <c r="B670">
        <v>0</v>
      </c>
      <c r="C670">
        <v>8.9999999999999993E-3</v>
      </c>
      <c r="D670">
        <v>0.20399999999999999</v>
      </c>
      <c r="E670">
        <v>0.84799999999999998</v>
      </c>
      <c r="F670">
        <v>1</v>
      </c>
      <c r="G670">
        <v>0.436</v>
      </c>
    </row>
    <row r="671" spans="1:7">
      <c r="A671">
        <v>1988</v>
      </c>
      <c r="B671">
        <v>0</v>
      </c>
      <c r="C671">
        <v>8.9999999999999993E-3</v>
      </c>
      <c r="D671">
        <v>0.20399999999999999</v>
      </c>
      <c r="E671">
        <v>0.84799999999999998</v>
      </c>
      <c r="F671">
        <v>1</v>
      </c>
      <c r="G671">
        <v>0.436</v>
      </c>
    </row>
    <row r="672" spans="1:7">
      <c r="A672">
        <v>1989</v>
      </c>
      <c r="B672">
        <v>0</v>
      </c>
      <c r="C672">
        <v>8.9999999999999993E-3</v>
      </c>
      <c r="D672">
        <v>0.20399999999999999</v>
      </c>
      <c r="E672">
        <v>0.84799999999999998</v>
      </c>
      <c r="F672">
        <v>1</v>
      </c>
      <c r="G672">
        <v>0.436</v>
      </c>
    </row>
    <row r="673" spans="1:7">
      <c r="A673">
        <v>1990</v>
      </c>
      <c r="B673">
        <v>0</v>
      </c>
      <c r="C673">
        <v>8.9999999999999993E-3</v>
      </c>
      <c r="D673">
        <v>0.20399999999999999</v>
      </c>
      <c r="E673">
        <v>0.84799999999999998</v>
      </c>
      <c r="F673">
        <v>1</v>
      </c>
      <c r="G673">
        <v>0.436</v>
      </c>
    </row>
    <row r="674" spans="1:7">
      <c r="A674">
        <v>1991</v>
      </c>
      <c r="B674">
        <v>0</v>
      </c>
      <c r="C674">
        <v>8.9999999999999993E-3</v>
      </c>
      <c r="D674">
        <v>0.20399999999999999</v>
      </c>
      <c r="E674">
        <v>0.84799999999999998</v>
      </c>
      <c r="F674">
        <v>1</v>
      </c>
      <c r="G674">
        <v>0.436</v>
      </c>
    </row>
    <row r="675" spans="1:7">
      <c r="A675">
        <v>1992</v>
      </c>
      <c r="B675">
        <v>0</v>
      </c>
      <c r="C675">
        <v>8.9999999999999993E-3</v>
      </c>
      <c r="D675">
        <v>0.20399999999999999</v>
      </c>
      <c r="E675">
        <v>0.84799999999999998</v>
      </c>
      <c r="F675">
        <v>1</v>
      </c>
      <c r="G675">
        <v>0.436</v>
      </c>
    </row>
    <row r="676" spans="1:7">
      <c r="A676">
        <v>1993</v>
      </c>
      <c r="B676">
        <v>0</v>
      </c>
      <c r="C676">
        <v>8.9999999999999993E-3</v>
      </c>
      <c r="D676">
        <v>0.20399999999999999</v>
      </c>
      <c r="E676">
        <v>0.84799999999999998</v>
      </c>
      <c r="F676">
        <v>1</v>
      </c>
      <c r="G676">
        <v>0.436</v>
      </c>
    </row>
    <row r="677" spans="1:7">
      <c r="A677">
        <v>1994</v>
      </c>
      <c r="B677">
        <v>0</v>
      </c>
      <c r="C677">
        <v>8.9999999999999993E-3</v>
      </c>
      <c r="D677">
        <v>0.20399999999999999</v>
      </c>
      <c r="E677">
        <v>0.84799999999999998</v>
      </c>
      <c r="F677">
        <v>1</v>
      </c>
      <c r="G677">
        <v>0.436</v>
      </c>
    </row>
    <row r="678" spans="1:7">
      <c r="A678">
        <v>1995</v>
      </c>
      <c r="B678">
        <v>0</v>
      </c>
      <c r="C678">
        <v>8.9999999999999993E-3</v>
      </c>
      <c r="D678">
        <v>0.20399999999999999</v>
      </c>
      <c r="E678">
        <v>0.84799999999999998</v>
      </c>
      <c r="F678">
        <v>1</v>
      </c>
      <c r="G678">
        <v>0.436</v>
      </c>
    </row>
    <row r="679" spans="1:7">
      <c r="A679">
        <v>1996</v>
      </c>
      <c r="B679">
        <v>0</v>
      </c>
      <c r="C679">
        <v>8.9999999999999993E-3</v>
      </c>
      <c r="D679">
        <v>0.20399999999999999</v>
      </c>
      <c r="E679">
        <v>0.84799999999999998</v>
      </c>
      <c r="F679">
        <v>1</v>
      </c>
      <c r="G679">
        <v>0.436</v>
      </c>
    </row>
    <row r="680" spans="1:7">
      <c r="A680">
        <v>1997</v>
      </c>
      <c r="B680">
        <v>0</v>
      </c>
      <c r="C680">
        <v>8.9999999999999993E-3</v>
      </c>
      <c r="D680">
        <v>0.20399999999999999</v>
      </c>
      <c r="E680">
        <v>0.84799999999999998</v>
      </c>
      <c r="F680">
        <v>1</v>
      </c>
      <c r="G680">
        <v>0.436</v>
      </c>
    </row>
    <row r="681" spans="1:7">
      <c r="A681">
        <v>1998</v>
      </c>
      <c r="B681">
        <v>0</v>
      </c>
      <c r="C681">
        <v>8.9999999999999993E-3</v>
      </c>
      <c r="D681">
        <v>0.20399999999999999</v>
      </c>
      <c r="E681">
        <v>0.84799999999999998</v>
      </c>
      <c r="F681">
        <v>1</v>
      </c>
      <c r="G681">
        <v>0.436</v>
      </c>
    </row>
    <row r="682" spans="1:7">
      <c r="A682">
        <v>1999</v>
      </c>
      <c r="B682">
        <v>0</v>
      </c>
      <c r="C682">
        <v>8.9999999999999993E-3</v>
      </c>
      <c r="D682">
        <v>0.20399999999999999</v>
      </c>
      <c r="E682">
        <v>0.84799999999999998</v>
      </c>
      <c r="F682">
        <v>1</v>
      </c>
      <c r="G682">
        <v>0.436</v>
      </c>
    </row>
    <row r="683" spans="1:7">
      <c r="A683">
        <v>2000</v>
      </c>
      <c r="B683">
        <v>0</v>
      </c>
      <c r="C683">
        <v>8.9999999999999993E-3</v>
      </c>
      <c r="D683">
        <v>0.20399999999999999</v>
      </c>
      <c r="E683">
        <v>0.84799999999999998</v>
      </c>
      <c r="F683">
        <v>1</v>
      </c>
      <c r="G683">
        <v>0.436</v>
      </c>
    </row>
    <row r="684" spans="1:7">
      <c r="A684">
        <v>2001</v>
      </c>
      <c r="B684">
        <v>0</v>
      </c>
      <c r="C684">
        <v>8.9999999999999993E-3</v>
      </c>
      <c r="D684">
        <v>0.20399999999999999</v>
      </c>
      <c r="E684">
        <v>0.84799999999999998</v>
      </c>
      <c r="F684">
        <v>1</v>
      </c>
      <c r="G684">
        <v>0.436</v>
      </c>
    </row>
    <row r="685" spans="1:7">
      <c r="A685">
        <v>2002</v>
      </c>
      <c r="B685">
        <v>0</v>
      </c>
      <c r="C685">
        <v>8.9999999999999993E-3</v>
      </c>
      <c r="D685">
        <v>0.20399999999999999</v>
      </c>
      <c r="E685">
        <v>0.84799999999999998</v>
      </c>
      <c r="F685">
        <v>1</v>
      </c>
      <c r="G685">
        <v>0.436</v>
      </c>
    </row>
    <row r="686" spans="1:7">
      <c r="A686">
        <v>2003</v>
      </c>
      <c r="B686">
        <v>0</v>
      </c>
      <c r="C686">
        <v>8.9999999999999993E-3</v>
      </c>
      <c r="D686">
        <v>0.20399999999999999</v>
      </c>
      <c r="E686">
        <v>0.84799999999999998</v>
      </c>
      <c r="F686">
        <v>1</v>
      </c>
      <c r="G686">
        <v>0.436</v>
      </c>
    </row>
    <row r="687" spans="1:7">
      <c r="A687">
        <v>2004</v>
      </c>
      <c r="B687">
        <v>0</v>
      </c>
      <c r="C687">
        <v>8.9999999999999993E-3</v>
      </c>
      <c r="D687">
        <v>0.20399999999999999</v>
      </c>
      <c r="E687">
        <v>0.84799999999999998</v>
      </c>
      <c r="F687">
        <v>1</v>
      </c>
      <c r="G687">
        <v>0.436</v>
      </c>
    </row>
    <row r="688" spans="1:7">
      <c r="A688">
        <v>2005</v>
      </c>
      <c r="B688">
        <v>0</v>
      </c>
      <c r="C688">
        <v>8.9999999999999993E-3</v>
      </c>
      <c r="D688">
        <v>0.20399999999999999</v>
      </c>
      <c r="E688">
        <v>0.84799999999999998</v>
      </c>
      <c r="F688">
        <v>1</v>
      </c>
      <c r="G688">
        <v>0.436</v>
      </c>
    </row>
    <row r="689" spans="1:7">
      <c r="A689">
        <v>2006</v>
      </c>
      <c r="B689">
        <v>0</v>
      </c>
      <c r="C689">
        <v>8.9999999999999993E-3</v>
      </c>
      <c r="D689">
        <v>0.20399999999999999</v>
      </c>
      <c r="E689">
        <v>0.84799999999999998</v>
      </c>
      <c r="F689">
        <v>1</v>
      </c>
      <c r="G689">
        <v>0.436</v>
      </c>
    </row>
    <row r="699" spans="1:7">
      <c r="A699" t="str">
        <f>'Titles and Variables'!C30</f>
        <v>TROP-PS</v>
      </c>
      <c r="B699" t="s">
        <v>61</v>
      </c>
    </row>
    <row r="700" spans="1:7">
      <c r="A700" t="s">
        <v>70</v>
      </c>
      <c r="B700" t="s">
        <v>71</v>
      </c>
      <c r="C700" t="s">
        <v>72</v>
      </c>
    </row>
    <row r="701" spans="1:7">
      <c r="A701" t="s">
        <v>68</v>
      </c>
      <c r="B701">
        <v>3</v>
      </c>
      <c r="C701">
        <v>4</v>
      </c>
      <c r="D701">
        <v>5</v>
      </c>
    </row>
    <row r="702" spans="1:7">
      <c r="A702" t="s">
        <v>69</v>
      </c>
      <c r="B702" t="s">
        <v>73</v>
      </c>
      <c r="C702" t="s">
        <v>73</v>
      </c>
      <c r="D702" t="s">
        <v>73</v>
      </c>
    </row>
    <row r="703" spans="1:7">
      <c r="A703">
        <v>1980</v>
      </c>
      <c r="B703">
        <v>29.518000000000001</v>
      </c>
      <c r="C703">
        <v>54.953000000000003</v>
      </c>
      <c r="D703">
        <v>78.542000000000002</v>
      </c>
    </row>
    <row r="704" spans="1:7">
      <c r="A704">
        <v>1981</v>
      </c>
      <c r="B704">
        <v>29.518000000000001</v>
      </c>
      <c r="C704">
        <v>54.953000000000003</v>
      </c>
      <c r="D704">
        <v>78.542000000000002</v>
      </c>
    </row>
    <row r="705" spans="1:4">
      <c r="A705">
        <v>1982</v>
      </c>
      <c r="B705">
        <v>29.518000000000001</v>
      </c>
      <c r="C705">
        <v>54.953000000000003</v>
      </c>
      <c r="D705">
        <v>78.542000000000002</v>
      </c>
    </row>
    <row r="706" spans="1:4">
      <c r="A706">
        <v>1983</v>
      </c>
      <c r="B706">
        <v>29.518000000000001</v>
      </c>
      <c r="C706">
        <v>54.953000000000003</v>
      </c>
      <c r="D706">
        <v>78.542000000000002</v>
      </c>
    </row>
    <row r="707" spans="1:4">
      <c r="A707">
        <v>1984</v>
      </c>
      <c r="B707">
        <v>29.518000000000001</v>
      </c>
      <c r="C707">
        <v>54.953000000000003</v>
      </c>
      <c r="D707">
        <v>78.542000000000002</v>
      </c>
    </row>
    <row r="708" spans="1:4">
      <c r="A708">
        <v>1985</v>
      </c>
      <c r="B708">
        <v>29.518000000000001</v>
      </c>
      <c r="C708">
        <v>54.953000000000003</v>
      </c>
      <c r="D708">
        <v>78.542000000000002</v>
      </c>
    </row>
    <row r="709" spans="1:4">
      <c r="A709">
        <v>1986</v>
      </c>
      <c r="B709">
        <v>29.518000000000001</v>
      </c>
      <c r="C709">
        <v>54.953000000000003</v>
      </c>
      <c r="D709">
        <v>78.542000000000002</v>
      </c>
    </row>
    <row r="710" spans="1:4">
      <c r="A710">
        <v>1987</v>
      </c>
      <c r="B710">
        <v>29.518000000000001</v>
      </c>
      <c r="C710">
        <v>54.953000000000003</v>
      </c>
      <c r="D710">
        <v>78.542000000000002</v>
      </c>
    </row>
    <row r="711" spans="1:4">
      <c r="A711">
        <v>1988</v>
      </c>
      <c r="B711">
        <v>29.518000000000001</v>
      </c>
      <c r="C711">
        <v>54.953000000000003</v>
      </c>
      <c r="D711">
        <v>78.542000000000002</v>
      </c>
    </row>
    <row r="712" spans="1:4">
      <c r="A712">
        <v>1989</v>
      </c>
      <c r="B712">
        <v>29.518000000000001</v>
      </c>
      <c r="C712">
        <v>54.953000000000003</v>
      </c>
      <c r="D712">
        <v>78.542000000000002</v>
      </c>
    </row>
    <row r="713" spans="1:4">
      <c r="A713">
        <v>1990</v>
      </c>
      <c r="B713">
        <v>29.518000000000001</v>
      </c>
      <c r="C713">
        <v>54.953000000000003</v>
      </c>
      <c r="D713">
        <v>78.542000000000002</v>
      </c>
    </row>
    <row r="714" spans="1:4">
      <c r="A714">
        <v>1991</v>
      </c>
      <c r="B714">
        <v>29.518000000000001</v>
      </c>
      <c r="C714">
        <v>54.953000000000003</v>
      </c>
      <c r="D714">
        <v>78.542000000000002</v>
      </c>
    </row>
    <row r="715" spans="1:4">
      <c r="A715">
        <v>1992</v>
      </c>
      <c r="B715">
        <v>29.518000000000001</v>
      </c>
      <c r="C715">
        <v>54.953000000000003</v>
      </c>
      <c r="D715">
        <v>78.542000000000002</v>
      </c>
    </row>
    <row r="716" spans="1:4">
      <c r="A716">
        <v>1993</v>
      </c>
      <c r="B716">
        <v>29.518000000000001</v>
      </c>
      <c r="C716">
        <v>54.953000000000003</v>
      </c>
      <c r="D716">
        <v>78.542000000000002</v>
      </c>
    </row>
    <row r="717" spans="1:4">
      <c r="A717">
        <v>1994</v>
      </c>
      <c r="B717">
        <v>29.518000000000001</v>
      </c>
      <c r="C717">
        <v>54.953000000000003</v>
      </c>
      <c r="D717">
        <v>78.542000000000002</v>
      </c>
    </row>
    <row r="718" spans="1:4">
      <c r="A718">
        <v>1995</v>
      </c>
      <c r="B718">
        <v>29.518000000000001</v>
      </c>
      <c r="C718">
        <v>54.953000000000003</v>
      </c>
      <c r="D718">
        <v>78.542000000000002</v>
      </c>
    </row>
    <row r="719" spans="1:4">
      <c r="A719">
        <v>1996</v>
      </c>
      <c r="B719">
        <v>29.518000000000001</v>
      </c>
      <c r="C719">
        <v>54.953000000000003</v>
      </c>
      <c r="D719">
        <v>78.542000000000002</v>
      </c>
    </row>
    <row r="720" spans="1:4">
      <c r="A720">
        <v>1997</v>
      </c>
      <c r="B720">
        <v>29.518000000000001</v>
      </c>
      <c r="C720">
        <v>54.953000000000003</v>
      </c>
      <c r="D720">
        <v>78.542000000000002</v>
      </c>
    </row>
    <row r="721" spans="1:4">
      <c r="A721">
        <v>1998</v>
      </c>
      <c r="B721">
        <v>29.518000000000001</v>
      </c>
      <c r="C721">
        <v>54.953000000000003</v>
      </c>
      <c r="D721">
        <v>78.542000000000002</v>
      </c>
    </row>
    <row r="722" spans="1:4">
      <c r="A722">
        <v>1999</v>
      </c>
      <c r="B722">
        <v>29.518000000000001</v>
      </c>
      <c r="C722">
        <v>54.953000000000003</v>
      </c>
      <c r="D722">
        <v>78.542000000000002</v>
      </c>
    </row>
    <row r="723" spans="1:4">
      <c r="A723">
        <v>2000</v>
      </c>
      <c r="B723">
        <v>29.518000000000001</v>
      </c>
      <c r="C723">
        <v>54.953000000000003</v>
      </c>
      <c r="D723">
        <v>78.542000000000002</v>
      </c>
    </row>
    <row r="724" spans="1:4">
      <c r="A724">
        <v>2001</v>
      </c>
      <c r="B724">
        <v>29.518000000000001</v>
      </c>
      <c r="C724">
        <v>54.953000000000003</v>
      </c>
      <c r="D724">
        <v>78.542000000000002</v>
      </c>
    </row>
    <row r="725" spans="1:4">
      <c r="A725">
        <v>2002</v>
      </c>
      <c r="B725">
        <v>29.518000000000001</v>
      </c>
      <c r="C725">
        <v>54.953000000000003</v>
      </c>
      <c r="D725">
        <v>78.542000000000002</v>
      </c>
    </row>
    <row r="726" spans="1:4">
      <c r="A726">
        <v>2003</v>
      </c>
      <c r="B726">
        <v>29.518000000000001</v>
      </c>
      <c r="C726">
        <v>54.953000000000003</v>
      </c>
      <c r="D726">
        <v>78.542000000000002</v>
      </c>
    </row>
    <row r="727" spans="1:4">
      <c r="A727">
        <v>2004</v>
      </c>
      <c r="B727">
        <v>29.518000000000001</v>
      </c>
      <c r="C727">
        <v>54.953000000000003</v>
      </c>
      <c r="D727">
        <v>78.542000000000002</v>
      </c>
    </row>
    <row r="728" spans="1:4">
      <c r="A728">
        <v>2005</v>
      </c>
      <c r="B728">
        <v>29.518000000000001</v>
      </c>
      <c r="C728">
        <v>54.953000000000003</v>
      </c>
      <c r="D728">
        <v>78.542000000000002</v>
      </c>
    </row>
    <row r="729" spans="1:4">
      <c r="A729">
        <v>2006</v>
      </c>
      <c r="B729">
        <v>29.518000000000001</v>
      </c>
      <c r="C729">
        <v>54.953000000000003</v>
      </c>
      <c r="D729">
        <v>78.542000000000002</v>
      </c>
    </row>
    <row r="749" spans="1:6">
      <c r="A749" t="str">
        <f>'Titles and Variables'!C31</f>
        <v>CAN-IS-BB</v>
      </c>
      <c r="B749" t="s">
        <v>61</v>
      </c>
    </row>
    <row r="750" spans="1:6">
      <c r="A750" t="s">
        <v>70</v>
      </c>
      <c r="B750" t="s">
        <v>71</v>
      </c>
      <c r="C750" t="s">
        <v>72</v>
      </c>
    </row>
    <row r="751" spans="1:6">
      <c r="A751" t="s">
        <v>68</v>
      </c>
      <c r="B751">
        <v>0</v>
      </c>
      <c r="C751">
        <v>1</v>
      </c>
      <c r="D751">
        <v>2</v>
      </c>
      <c r="E751">
        <v>3</v>
      </c>
      <c r="F751">
        <v>4</v>
      </c>
    </row>
    <row r="752" spans="1:6">
      <c r="A752" t="s">
        <v>69</v>
      </c>
      <c r="B752" t="s">
        <v>73</v>
      </c>
      <c r="C752" t="s">
        <v>73</v>
      </c>
      <c r="D752" t="s">
        <v>73</v>
      </c>
      <c r="E752" t="s">
        <v>73</v>
      </c>
      <c r="F752" t="s">
        <v>73</v>
      </c>
    </row>
    <row r="753" spans="1:6">
      <c r="A753">
        <v>1980</v>
      </c>
      <c r="B753">
        <v>5.0000000000000001E-3</v>
      </c>
      <c r="C753">
        <v>0.88300000000000001</v>
      </c>
      <c r="D753">
        <v>1</v>
      </c>
      <c r="E753">
        <v>0.58899999999999997</v>
      </c>
      <c r="F753">
        <v>0.70499999999999996</v>
      </c>
    </row>
    <row r="754" spans="1:6">
      <c r="A754">
        <v>1981</v>
      </c>
      <c r="B754">
        <v>5.0000000000000001E-3</v>
      </c>
      <c r="C754">
        <v>0.88300000000000001</v>
      </c>
      <c r="D754">
        <v>1</v>
      </c>
      <c r="E754">
        <v>0.58899999999999997</v>
      </c>
      <c r="F754">
        <v>0.70499999999999996</v>
      </c>
    </row>
    <row r="755" spans="1:6">
      <c r="A755">
        <v>1982</v>
      </c>
      <c r="B755">
        <v>5.0000000000000001E-3</v>
      </c>
      <c r="C755">
        <v>0.88300000000000001</v>
      </c>
      <c r="D755">
        <v>1</v>
      </c>
      <c r="E755">
        <v>0.58899999999999997</v>
      </c>
      <c r="F755">
        <v>0.70499999999999996</v>
      </c>
    </row>
    <row r="756" spans="1:6">
      <c r="A756">
        <v>1983</v>
      </c>
      <c r="B756">
        <v>5.0000000000000001E-3</v>
      </c>
      <c r="C756">
        <v>0.88300000000000001</v>
      </c>
      <c r="D756">
        <v>1</v>
      </c>
      <c r="E756">
        <v>0.58899999999999997</v>
      </c>
      <c r="F756">
        <v>0.70499999999999996</v>
      </c>
    </row>
    <row r="757" spans="1:6">
      <c r="A757">
        <v>1984</v>
      </c>
      <c r="B757">
        <v>5.0000000000000001E-3</v>
      </c>
      <c r="C757">
        <v>0.88300000000000001</v>
      </c>
      <c r="D757">
        <v>1</v>
      </c>
      <c r="E757">
        <v>0.58899999999999997</v>
      </c>
      <c r="F757">
        <v>0.70499999999999996</v>
      </c>
    </row>
    <row r="758" spans="1:6">
      <c r="A758">
        <v>1985</v>
      </c>
      <c r="B758">
        <v>5.0000000000000001E-3</v>
      </c>
      <c r="C758">
        <v>0.88300000000000001</v>
      </c>
      <c r="D758">
        <v>1</v>
      </c>
      <c r="E758">
        <v>0.58899999999999997</v>
      </c>
      <c r="F758">
        <v>0.70499999999999996</v>
      </c>
    </row>
    <row r="759" spans="1:6">
      <c r="A759">
        <v>1986</v>
      </c>
      <c r="B759">
        <v>5.0000000000000001E-3</v>
      </c>
      <c r="C759">
        <v>0.88300000000000001</v>
      </c>
      <c r="D759">
        <v>1</v>
      </c>
      <c r="E759">
        <v>0.58899999999999997</v>
      </c>
      <c r="F759">
        <v>0.70499999999999996</v>
      </c>
    </row>
    <row r="760" spans="1:6">
      <c r="A760">
        <v>1987</v>
      </c>
      <c r="B760">
        <v>5.0000000000000001E-3</v>
      </c>
      <c r="C760">
        <v>0.88300000000000001</v>
      </c>
      <c r="D760">
        <v>1</v>
      </c>
      <c r="E760">
        <v>0.58899999999999997</v>
      </c>
      <c r="F760">
        <v>0.70499999999999996</v>
      </c>
    </row>
    <row r="761" spans="1:6">
      <c r="A761">
        <v>1988</v>
      </c>
      <c r="B761">
        <v>5.0000000000000001E-3</v>
      </c>
      <c r="C761">
        <v>0.88300000000000001</v>
      </c>
      <c r="D761">
        <v>1</v>
      </c>
      <c r="E761">
        <v>0.58899999999999997</v>
      </c>
      <c r="F761">
        <v>0.70499999999999996</v>
      </c>
    </row>
    <row r="762" spans="1:6">
      <c r="A762">
        <v>1989</v>
      </c>
      <c r="B762">
        <v>5.0000000000000001E-3</v>
      </c>
      <c r="C762">
        <v>0.88300000000000001</v>
      </c>
      <c r="D762">
        <v>1</v>
      </c>
      <c r="E762">
        <v>0.58899999999999997</v>
      </c>
      <c r="F762">
        <v>0.70499999999999996</v>
      </c>
    </row>
    <row r="763" spans="1:6">
      <c r="A763">
        <v>1990</v>
      </c>
      <c r="B763">
        <v>5.0000000000000001E-3</v>
      </c>
      <c r="C763">
        <v>0.88300000000000001</v>
      </c>
      <c r="D763">
        <v>1</v>
      </c>
      <c r="E763">
        <v>0.58899999999999997</v>
      </c>
      <c r="F763">
        <v>0.70499999999999996</v>
      </c>
    </row>
    <row r="764" spans="1:6">
      <c r="A764">
        <v>1991</v>
      </c>
      <c r="B764">
        <v>5.0000000000000001E-3</v>
      </c>
      <c r="C764">
        <v>0.88300000000000001</v>
      </c>
      <c r="D764">
        <v>1</v>
      </c>
      <c r="E764">
        <v>0.58899999999999997</v>
      </c>
      <c r="F764">
        <v>0.70499999999999996</v>
      </c>
    </row>
    <row r="765" spans="1:6">
      <c r="A765">
        <v>1992</v>
      </c>
      <c r="B765">
        <v>5.0000000000000001E-3</v>
      </c>
      <c r="C765">
        <v>0.88300000000000001</v>
      </c>
      <c r="D765">
        <v>1</v>
      </c>
      <c r="E765">
        <v>0.58899999999999997</v>
      </c>
      <c r="F765">
        <v>0.70499999999999996</v>
      </c>
    </row>
    <row r="766" spans="1:6">
      <c r="A766">
        <v>1993</v>
      </c>
      <c r="B766">
        <v>5.0000000000000001E-3</v>
      </c>
      <c r="C766">
        <v>0.88300000000000001</v>
      </c>
      <c r="D766">
        <v>1</v>
      </c>
      <c r="E766">
        <v>0.58899999999999997</v>
      </c>
      <c r="F766">
        <v>0.70499999999999996</v>
      </c>
    </row>
    <row r="767" spans="1:6">
      <c r="A767">
        <v>1994</v>
      </c>
      <c r="B767">
        <v>5.0000000000000001E-3</v>
      </c>
      <c r="C767">
        <v>0.88300000000000001</v>
      </c>
      <c r="D767">
        <v>1</v>
      </c>
      <c r="E767">
        <v>0.58899999999999997</v>
      </c>
      <c r="F767">
        <v>0.70499999999999996</v>
      </c>
    </row>
    <row r="768" spans="1:6">
      <c r="A768">
        <v>1995</v>
      </c>
      <c r="B768">
        <v>5.0000000000000001E-3</v>
      </c>
      <c r="C768">
        <v>0.88300000000000001</v>
      </c>
      <c r="D768">
        <v>1</v>
      </c>
      <c r="E768">
        <v>0.58899999999999997</v>
      </c>
      <c r="F768">
        <v>0.70499999999999996</v>
      </c>
    </row>
    <row r="769" spans="1:6">
      <c r="A769">
        <v>1996</v>
      </c>
      <c r="B769">
        <v>5.0000000000000001E-3</v>
      </c>
      <c r="C769">
        <v>0.88300000000000001</v>
      </c>
      <c r="D769">
        <v>1</v>
      </c>
      <c r="E769">
        <v>0.58899999999999997</v>
      </c>
      <c r="F769">
        <v>0.70499999999999996</v>
      </c>
    </row>
    <row r="770" spans="1:6">
      <c r="A770">
        <v>1997</v>
      </c>
      <c r="B770">
        <v>5.0000000000000001E-3</v>
      </c>
      <c r="C770">
        <v>0.88300000000000001</v>
      </c>
      <c r="D770">
        <v>1</v>
      </c>
      <c r="E770">
        <v>0.58899999999999997</v>
      </c>
      <c r="F770">
        <v>0.70499999999999996</v>
      </c>
    </row>
    <row r="771" spans="1:6">
      <c r="A771">
        <v>1998</v>
      </c>
      <c r="B771">
        <v>5.0000000000000001E-3</v>
      </c>
      <c r="C771">
        <v>0.88300000000000001</v>
      </c>
      <c r="D771">
        <v>1</v>
      </c>
      <c r="E771">
        <v>0.58899999999999997</v>
      </c>
      <c r="F771">
        <v>0.70499999999999996</v>
      </c>
    </row>
    <row r="772" spans="1:6">
      <c r="A772">
        <v>1999</v>
      </c>
      <c r="B772">
        <v>5.0000000000000001E-3</v>
      </c>
      <c r="C772">
        <v>0.88300000000000001</v>
      </c>
      <c r="D772">
        <v>1</v>
      </c>
      <c r="E772">
        <v>0.58899999999999997</v>
      </c>
      <c r="F772">
        <v>0.70499999999999996</v>
      </c>
    </row>
    <row r="773" spans="1:6">
      <c r="A773">
        <v>2000</v>
      </c>
      <c r="B773">
        <v>5.0000000000000001E-3</v>
      </c>
      <c r="C773">
        <v>0.88300000000000001</v>
      </c>
      <c r="D773">
        <v>1</v>
      </c>
      <c r="E773">
        <v>0.58899999999999997</v>
      </c>
      <c r="F773">
        <v>0.70499999999999996</v>
      </c>
    </row>
    <row r="774" spans="1:6">
      <c r="A774">
        <v>2001</v>
      </c>
      <c r="B774">
        <v>5.0000000000000001E-3</v>
      </c>
      <c r="C774">
        <v>0.88300000000000001</v>
      </c>
      <c r="D774">
        <v>1</v>
      </c>
      <c r="E774">
        <v>0.58899999999999997</v>
      </c>
      <c r="F774">
        <v>0.70499999999999996</v>
      </c>
    </row>
    <row r="775" spans="1:6">
      <c r="A775">
        <v>2002</v>
      </c>
      <c r="B775">
        <v>5.0000000000000001E-3</v>
      </c>
      <c r="C775">
        <v>0.88300000000000001</v>
      </c>
      <c r="D775">
        <v>1</v>
      </c>
      <c r="E775">
        <v>0.58899999999999997</v>
      </c>
      <c r="F775">
        <v>0.70499999999999996</v>
      </c>
    </row>
    <row r="776" spans="1:6">
      <c r="A776">
        <v>2003</v>
      </c>
      <c r="B776">
        <v>5.0000000000000001E-3</v>
      </c>
      <c r="C776">
        <v>0.88300000000000001</v>
      </c>
      <c r="D776">
        <v>1</v>
      </c>
      <c r="E776">
        <v>0.58899999999999997</v>
      </c>
      <c r="F776">
        <v>0.70499999999999996</v>
      </c>
    </row>
    <row r="777" spans="1:6">
      <c r="A777">
        <v>2004</v>
      </c>
      <c r="B777">
        <v>5.0000000000000001E-3</v>
      </c>
      <c r="C777">
        <v>0.88300000000000001</v>
      </c>
      <c r="D777">
        <v>1</v>
      </c>
      <c r="E777">
        <v>0.58899999999999997</v>
      </c>
      <c r="F777">
        <v>0.70499999999999996</v>
      </c>
    </row>
    <row r="778" spans="1:6">
      <c r="A778">
        <v>2005</v>
      </c>
      <c r="B778">
        <v>5.0000000000000001E-3</v>
      </c>
      <c r="C778">
        <v>0.88300000000000001</v>
      </c>
      <c r="D778">
        <v>1</v>
      </c>
      <c r="E778">
        <v>0.58899999999999997</v>
      </c>
      <c r="F778">
        <v>0.70499999999999996</v>
      </c>
    </row>
    <row r="779" spans="1:6">
      <c r="A779">
        <v>2006</v>
      </c>
      <c r="B779">
        <v>5.0000000000000001E-3</v>
      </c>
      <c r="C779">
        <v>0.88300000000000001</v>
      </c>
      <c r="D779">
        <v>1</v>
      </c>
      <c r="E779">
        <v>0.58899999999999997</v>
      </c>
      <c r="F779">
        <v>0.70499999999999996</v>
      </c>
    </row>
    <row r="799" spans="1:2">
      <c r="A799" t="str">
        <f>'Titles and Variables'!C32</f>
        <v>NOT-USED</v>
      </c>
      <c r="B799" t="s">
        <v>61</v>
      </c>
    </row>
    <row r="849" spans="1:2">
      <c r="A849" t="str">
        <f>'Titles and Variables'!C33</f>
        <v>NOT-USED</v>
      </c>
      <c r="B849" t="s">
        <v>61</v>
      </c>
    </row>
    <row r="899" spans="1:2">
      <c r="A899" t="str">
        <f>'Titles and Variables'!C34</f>
        <v>NOT-USED</v>
      </c>
      <c r="B899" t="s">
        <v>61</v>
      </c>
    </row>
    <row r="949" spans="1:2">
      <c r="A949" t="str">
        <f>'Titles and Variables'!C35</f>
        <v>NOT-USED</v>
      </c>
      <c r="B949" t="s">
        <v>61</v>
      </c>
    </row>
  </sheetData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Load VPA Results</vt:lpstr>
      <vt:lpstr>Titles and Variables</vt:lpstr>
      <vt:lpstr>Table1-FAA</vt:lpstr>
      <vt:lpstr>Table2-NAA</vt:lpstr>
      <vt:lpstr>Table3-CAA</vt:lpstr>
      <vt:lpstr>Table4-SSB-R</vt:lpstr>
      <vt:lpstr>Indices-Reg1</vt:lpstr>
      <vt:lpstr>Selectivity-Reg1</vt:lpstr>
      <vt:lpstr>Selectivity-Figures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Shannon L. Cass-Calay</cp:lastModifiedBy>
  <dcterms:created xsi:type="dcterms:W3CDTF">2005-12-13T15:04:32Z</dcterms:created>
  <dcterms:modified xsi:type="dcterms:W3CDTF">2008-07-27T13:36:44Z</dcterms:modified>
</cp:coreProperties>
</file>